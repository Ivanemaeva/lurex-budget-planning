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i_naguenkenfack_studenti_unipi_it/Documents/"/>
    </mc:Choice>
  </mc:AlternateContent>
  <xr:revisionPtr revIDLastSave="4" documentId="8_{A9E9B6C1-EDCB-42C3-832D-F84E78580EEA}" xr6:coauthVersionLast="47" xr6:coauthVersionMax="47" xr10:uidLastSave="{729842EF-CF86-45B4-AF2E-4896443326B4}"/>
  <bookViews>
    <workbookView xWindow="-108" yWindow="-108" windowWidth="23256" windowHeight="12456" activeTab="1" xr2:uid="{32C9A5C8-F69E-4EFE-B408-CB028F007593}"/>
  </bookViews>
  <sheets>
    <sheet name="BUDGET COMMERCIALE" sheetId="1" r:id="rId1"/>
    <sheet name="BUDGET PRODUZIONE" sheetId="2" r:id="rId2"/>
    <sheet name="Foglio1" sheetId="3" r:id="rId3"/>
  </sheets>
  <definedNames>
    <definedName name="_xlnm._FilterDatabase" localSheetId="0" hidden="1">'BUDGET COMMERCIALE'!$A$64:$E$76</definedName>
    <definedName name="_xlnm._FilterDatabase" localSheetId="1" hidden="1">'BUDGET PRODUZIONE'!$T$8:$Y$17</definedName>
    <definedName name="multiply">'BUDGET COMMERCIALE'!#REF!</definedName>
    <definedName name="p">'BUDGET COMMERCIALE'!#REF!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6" i="1" l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B82" i="1"/>
  <c r="B482" i="2"/>
  <c r="B480" i="2"/>
  <c r="B465" i="2"/>
  <c r="B481" i="2"/>
  <c r="P19" i="2"/>
  <c r="O19" i="2"/>
  <c r="N19" i="2"/>
  <c r="L19" i="2"/>
  <c r="K19" i="2"/>
  <c r="J19" i="2"/>
  <c r="H19" i="2"/>
  <c r="G19" i="2"/>
  <c r="F19" i="2"/>
  <c r="D19" i="2"/>
  <c r="C19" i="2"/>
  <c r="B19" i="2"/>
  <c r="J531" i="2"/>
  <c r="K531" i="2"/>
  <c r="L531" i="2"/>
  <c r="M531" i="2"/>
  <c r="N531" i="2"/>
  <c r="O531" i="2"/>
  <c r="P531" i="2"/>
  <c r="Q531" i="2"/>
  <c r="E510" i="2"/>
  <c r="E511" i="2"/>
  <c r="E509" i="2"/>
  <c r="I510" i="2"/>
  <c r="I511" i="2"/>
  <c r="I509" i="2"/>
  <c r="D24" i="2"/>
  <c r="M510" i="2"/>
  <c r="M511" i="2"/>
  <c r="M515" i="2"/>
  <c r="M509" i="2"/>
  <c r="Q510" i="2"/>
  <c r="Q511" i="2"/>
  <c r="Q515" i="2"/>
  <c r="Q509" i="2"/>
  <c r="R510" i="2"/>
  <c r="R509" i="2"/>
  <c r="Q465" i="2"/>
  <c r="M465" i="2"/>
  <c r="I465" i="2"/>
  <c r="E465" i="2"/>
  <c r="R465" i="2" s="1"/>
  <c r="B512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O464" i="2"/>
  <c r="P464" i="2"/>
  <c r="Q464" i="2"/>
  <c r="R464" i="2"/>
  <c r="B464" i="2"/>
  <c r="B463" i="2"/>
  <c r="B479" i="2"/>
  <c r="C479" i="2"/>
  <c r="D479" i="2"/>
  <c r="F479" i="2"/>
  <c r="G479" i="2"/>
  <c r="H479" i="2"/>
  <c r="J479" i="2"/>
  <c r="K479" i="2"/>
  <c r="L479" i="2"/>
  <c r="N479" i="2"/>
  <c r="O479" i="2"/>
  <c r="P479" i="2"/>
  <c r="B478" i="2"/>
  <c r="B445" i="2"/>
  <c r="C445" i="2"/>
  <c r="D445" i="2"/>
  <c r="E445" i="2"/>
  <c r="F445" i="2"/>
  <c r="G445" i="2"/>
  <c r="H445" i="2"/>
  <c r="I445" i="2"/>
  <c r="J445" i="2"/>
  <c r="K445" i="2"/>
  <c r="L445" i="2"/>
  <c r="M445" i="2"/>
  <c r="N445" i="2"/>
  <c r="O445" i="2"/>
  <c r="P445" i="2"/>
  <c r="Q445" i="2"/>
  <c r="R445" i="2"/>
  <c r="C463" i="2"/>
  <c r="D463" i="2"/>
  <c r="B447" i="2"/>
  <c r="B461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O461" i="2"/>
  <c r="P461" i="2"/>
  <c r="Q461" i="2"/>
  <c r="R461" i="2"/>
  <c r="B495" i="2"/>
  <c r="B448" i="2"/>
  <c r="J481" i="2"/>
  <c r="K481" i="2"/>
  <c r="L481" i="2"/>
  <c r="M481" i="2"/>
  <c r="N481" i="2"/>
  <c r="O481" i="2"/>
  <c r="P481" i="2"/>
  <c r="Q481" i="2"/>
  <c r="P462" i="2"/>
  <c r="P463" i="2"/>
  <c r="O462" i="2"/>
  <c r="N462" i="2"/>
  <c r="K462" i="2"/>
  <c r="L462" i="2"/>
  <c r="J462" i="2"/>
  <c r="H462" i="2"/>
  <c r="I462" i="2"/>
  <c r="G462" i="2"/>
  <c r="F462" i="2"/>
  <c r="D462" i="2"/>
  <c r="C462" i="2"/>
  <c r="B462" i="2"/>
  <c r="Q462" i="2"/>
  <c r="M462" i="2"/>
  <c r="E462" i="2"/>
  <c r="R462" i="2" s="1"/>
  <c r="B446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C402" i="2"/>
  <c r="D402" i="2"/>
  <c r="F402" i="2"/>
  <c r="G402" i="2"/>
  <c r="H402" i="2"/>
  <c r="I402" i="2"/>
  <c r="J402" i="2"/>
  <c r="K402" i="2" s="1"/>
  <c r="L402" i="2"/>
  <c r="M402" i="2"/>
  <c r="N402" i="2"/>
  <c r="O402" i="2"/>
  <c r="P402" i="2"/>
  <c r="Q402" i="2"/>
  <c r="C475" i="2"/>
  <c r="D475" i="2"/>
  <c r="F475" i="2"/>
  <c r="G475" i="2"/>
  <c r="H475" i="2"/>
  <c r="J475" i="2"/>
  <c r="K475" i="2"/>
  <c r="L475" i="2"/>
  <c r="N475" i="2"/>
  <c r="O475" i="2"/>
  <c r="P475" i="2"/>
  <c r="C476" i="2"/>
  <c r="D476" i="2"/>
  <c r="F476" i="2"/>
  <c r="G476" i="2"/>
  <c r="H476" i="2"/>
  <c r="J476" i="2"/>
  <c r="K476" i="2"/>
  <c r="L476" i="2"/>
  <c r="N476" i="2"/>
  <c r="O476" i="2"/>
  <c r="P476" i="2"/>
  <c r="C477" i="2"/>
  <c r="D477" i="2"/>
  <c r="F477" i="2"/>
  <c r="G477" i="2"/>
  <c r="H477" i="2"/>
  <c r="J477" i="2"/>
  <c r="K477" i="2"/>
  <c r="L477" i="2"/>
  <c r="N477" i="2"/>
  <c r="O477" i="2"/>
  <c r="P477" i="2"/>
  <c r="B475" i="2"/>
  <c r="E475" i="2" s="1"/>
  <c r="B96" i="1"/>
  <c r="B476" i="2"/>
  <c r="D458" i="2"/>
  <c r="C458" i="2"/>
  <c r="B442" i="2"/>
  <c r="B402" i="2"/>
  <c r="E402" i="2" s="1"/>
  <c r="R402" i="2" s="1"/>
  <c r="B458" i="2"/>
  <c r="B459" i="2"/>
  <c r="B460" i="2"/>
  <c r="O433" i="2"/>
  <c r="P433" i="2"/>
  <c r="O432" i="2"/>
  <c r="P432" i="2"/>
  <c r="O431" i="2"/>
  <c r="P431" i="2"/>
  <c r="O430" i="2"/>
  <c r="O434" i="2" s="1"/>
  <c r="P430" i="2"/>
  <c r="P434" i="2" s="1"/>
  <c r="N433" i="2"/>
  <c r="Q433" i="2" s="1"/>
  <c r="L433" i="2"/>
  <c r="N432" i="2"/>
  <c r="Q432" i="2" s="1"/>
  <c r="L432" i="2"/>
  <c r="N431" i="2"/>
  <c r="Q431" i="2" s="1"/>
  <c r="L431" i="2"/>
  <c r="N430" i="2"/>
  <c r="L430" i="2"/>
  <c r="K433" i="2"/>
  <c r="K432" i="2"/>
  <c r="K431" i="2"/>
  <c r="K430" i="2"/>
  <c r="K434" i="2" s="1"/>
  <c r="J433" i="2"/>
  <c r="H433" i="2"/>
  <c r="J432" i="2"/>
  <c r="H432" i="2"/>
  <c r="J431" i="2"/>
  <c r="H431" i="2"/>
  <c r="J430" i="2"/>
  <c r="H430" i="2"/>
  <c r="G433" i="2"/>
  <c r="G432" i="2"/>
  <c r="G431" i="2"/>
  <c r="G430" i="2"/>
  <c r="G434" i="2" s="1"/>
  <c r="F433" i="2"/>
  <c r="B433" i="2"/>
  <c r="F432" i="2"/>
  <c r="B432" i="2"/>
  <c r="F431" i="2"/>
  <c r="B431" i="2"/>
  <c r="F430" i="2"/>
  <c r="F434" i="2" s="1"/>
  <c r="L401" i="2" s="1"/>
  <c r="B430" i="2"/>
  <c r="C433" i="2"/>
  <c r="D433" i="2"/>
  <c r="D432" i="2"/>
  <c r="C432" i="2"/>
  <c r="E432" i="2" s="1"/>
  <c r="C431" i="2"/>
  <c r="D431" i="2"/>
  <c r="D430" i="2"/>
  <c r="D434" i="2" s="1"/>
  <c r="C430" i="2"/>
  <c r="C434" i="2" s="1"/>
  <c r="C391" i="2"/>
  <c r="G391" i="2" s="1"/>
  <c r="K391" i="2" s="1"/>
  <c r="O391" i="2" s="1"/>
  <c r="D391" i="2"/>
  <c r="H391" i="2" s="1"/>
  <c r="L391" i="2" s="1"/>
  <c r="P391" i="2" s="1"/>
  <c r="B391" i="2"/>
  <c r="F391" i="2" s="1"/>
  <c r="J391" i="2" s="1"/>
  <c r="N391" i="2" s="1"/>
  <c r="Q424" i="2"/>
  <c r="K424" i="2"/>
  <c r="O424" i="2" s="1"/>
  <c r="L424" i="2"/>
  <c r="P424" i="2" s="1"/>
  <c r="J424" i="2"/>
  <c r="N424" i="2" s="1"/>
  <c r="C424" i="2"/>
  <c r="G424" i="2" s="1"/>
  <c r="D424" i="2"/>
  <c r="H424" i="2" s="1"/>
  <c r="B424" i="2"/>
  <c r="F424" i="2" s="1"/>
  <c r="P427" i="2"/>
  <c r="O427" i="2"/>
  <c r="N427" i="2"/>
  <c r="K427" i="2"/>
  <c r="L427" i="2"/>
  <c r="J427" i="2"/>
  <c r="C427" i="2"/>
  <c r="G427" i="2" s="1"/>
  <c r="D427" i="2"/>
  <c r="H427" i="2" s="1"/>
  <c r="B427" i="2"/>
  <c r="F427" i="2" s="1"/>
  <c r="K426" i="2"/>
  <c r="O426" i="2" s="1"/>
  <c r="L426" i="2"/>
  <c r="P426" i="2" s="1"/>
  <c r="J426" i="2"/>
  <c r="C426" i="2"/>
  <c r="G426" i="2" s="1"/>
  <c r="D426" i="2"/>
  <c r="H426" i="2" s="1"/>
  <c r="B426" i="2"/>
  <c r="F426" i="2" s="1"/>
  <c r="K425" i="2"/>
  <c r="O425" i="2" s="1"/>
  <c r="L425" i="2"/>
  <c r="J425" i="2"/>
  <c r="N425" i="2" s="1"/>
  <c r="C425" i="2"/>
  <c r="D425" i="2"/>
  <c r="F425" i="2"/>
  <c r="G425" i="2"/>
  <c r="H425" i="2"/>
  <c r="B425" i="2"/>
  <c r="E425" i="2" s="1"/>
  <c r="B97" i="1"/>
  <c r="B99" i="1"/>
  <c r="B100" i="1"/>
  <c r="B107" i="1"/>
  <c r="B108" i="1"/>
  <c r="B109" i="1"/>
  <c r="B110" i="1"/>
  <c r="B111" i="1"/>
  <c r="B112" i="1"/>
  <c r="B443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P443" i="2"/>
  <c r="Q443" i="2"/>
  <c r="R443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C442" i="2"/>
  <c r="D442" i="2"/>
  <c r="E442" i="2"/>
  <c r="F442" i="2"/>
  <c r="G442" i="2"/>
  <c r="H442" i="2"/>
  <c r="J442" i="2"/>
  <c r="K442" i="2"/>
  <c r="L442" i="2"/>
  <c r="N442" i="2"/>
  <c r="O442" i="2"/>
  <c r="P442" i="2"/>
  <c r="A457" i="2"/>
  <c r="A474" i="2" s="1"/>
  <c r="C380" i="2"/>
  <c r="D380" i="2"/>
  <c r="F380" i="2"/>
  <c r="G380" i="2"/>
  <c r="H380" i="2"/>
  <c r="J380" i="2"/>
  <c r="K380" i="2"/>
  <c r="L380" i="2"/>
  <c r="N380" i="2"/>
  <c r="O380" i="2"/>
  <c r="P380" i="2"/>
  <c r="B380" i="2"/>
  <c r="B369" i="2"/>
  <c r="K421" i="2"/>
  <c r="L421" i="2"/>
  <c r="N421" i="2"/>
  <c r="O421" i="2"/>
  <c r="P421" i="2"/>
  <c r="J421" i="2"/>
  <c r="K420" i="2"/>
  <c r="L420" i="2"/>
  <c r="N420" i="2"/>
  <c r="O420" i="2"/>
  <c r="P420" i="2"/>
  <c r="J420" i="2"/>
  <c r="M420" i="2" s="1"/>
  <c r="K419" i="2"/>
  <c r="L419" i="2"/>
  <c r="N419" i="2"/>
  <c r="O419" i="2"/>
  <c r="P419" i="2"/>
  <c r="J419" i="2"/>
  <c r="C419" i="2"/>
  <c r="D419" i="2"/>
  <c r="F419" i="2"/>
  <c r="G419" i="2"/>
  <c r="H419" i="2"/>
  <c r="C420" i="2"/>
  <c r="D420" i="2"/>
  <c r="F420" i="2"/>
  <c r="G420" i="2"/>
  <c r="H420" i="2"/>
  <c r="C421" i="2"/>
  <c r="D421" i="2"/>
  <c r="F421" i="2"/>
  <c r="G421" i="2"/>
  <c r="H421" i="2"/>
  <c r="B421" i="2"/>
  <c r="B419" i="2"/>
  <c r="B420" i="2"/>
  <c r="P414" i="2"/>
  <c r="C369" i="2"/>
  <c r="D369" i="2"/>
  <c r="P369" i="2"/>
  <c r="O369" i="2"/>
  <c r="N369" i="2"/>
  <c r="L369" i="2"/>
  <c r="K369" i="2"/>
  <c r="J369" i="2"/>
  <c r="H369" i="2"/>
  <c r="G369" i="2"/>
  <c r="F369" i="2"/>
  <c r="P416" i="2"/>
  <c r="O416" i="2"/>
  <c r="N416" i="2"/>
  <c r="L416" i="2"/>
  <c r="K416" i="2"/>
  <c r="J416" i="2"/>
  <c r="H416" i="2"/>
  <c r="G416" i="2"/>
  <c r="F416" i="2"/>
  <c r="D416" i="2"/>
  <c r="C416" i="2"/>
  <c r="B416" i="2"/>
  <c r="P415" i="2"/>
  <c r="O415" i="2"/>
  <c r="N415" i="2"/>
  <c r="L415" i="2"/>
  <c r="K415" i="2"/>
  <c r="J415" i="2"/>
  <c r="H415" i="2"/>
  <c r="G415" i="2"/>
  <c r="F415" i="2"/>
  <c r="D415" i="2"/>
  <c r="C415" i="2"/>
  <c r="O414" i="2"/>
  <c r="N414" i="2"/>
  <c r="L414" i="2"/>
  <c r="K414" i="2"/>
  <c r="J414" i="2"/>
  <c r="B415" i="2"/>
  <c r="C414" i="2"/>
  <c r="H414" i="2"/>
  <c r="G414" i="2"/>
  <c r="F414" i="2"/>
  <c r="D414" i="2"/>
  <c r="B414" i="2"/>
  <c r="D509" i="2" l="1"/>
  <c r="C509" i="2"/>
  <c r="P510" i="2"/>
  <c r="O510" i="2"/>
  <c r="N510" i="2"/>
  <c r="L510" i="2"/>
  <c r="K510" i="2"/>
  <c r="J510" i="2"/>
  <c r="H510" i="2"/>
  <c r="G510" i="2"/>
  <c r="F510" i="2"/>
  <c r="D510" i="2"/>
  <c r="C510" i="2"/>
  <c r="B510" i="2"/>
  <c r="C401" i="2"/>
  <c r="G401" i="2"/>
  <c r="D401" i="2"/>
  <c r="H401" i="2"/>
  <c r="J401" i="2"/>
  <c r="B509" i="2"/>
  <c r="B511" i="2" s="1"/>
  <c r="B98" i="1"/>
  <c r="B101" i="1" s="1"/>
  <c r="E476" i="2"/>
  <c r="B477" i="2"/>
  <c r="E477" i="2" s="1"/>
  <c r="Q477" i="2"/>
  <c r="M477" i="2"/>
  <c r="I477" i="2"/>
  <c r="Q476" i="2"/>
  <c r="M476" i="2"/>
  <c r="I476" i="2"/>
  <c r="Q475" i="2"/>
  <c r="M475" i="2"/>
  <c r="I475" i="2"/>
  <c r="R475" i="2" s="1"/>
  <c r="M442" i="2"/>
  <c r="R459" i="2"/>
  <c r="M427" i="2"/>
  <c r="Q427" i="2" s="1"/>
  <c r="B401" i="2"/>
  <c r="E401" i="2" s="1"/>
  <c r="E431" i="2"/>
  <c r="E433" i="2"/>
  <c r="E430" i="2"/>
  <c r="I430" i="2"/>
  <c r="M430" i="2"/>
  <c r="J434" i="2"/>
  <c r="P401" i="2" s="1"/>
  <c r="I431" i="2"/>
  <c r="I432" i="2"/>
  <c r="I433" i="2"/>
  <c r="Q430" i="2"/>
  <c r="N434" i="2"/>
  <c r="Q434" i="2" s="1"/>
  <c r="M431" i="2"/>
  <c r="M432" i="2"/>
  <c r="L434" i="2"/>
  <c r="M434" i="2" s="1"/>
  <c r="M433" i="2"/>
  <c r="H434" i="2"/>
  <c r="N401" i="2" s="1"/>
  <c r="B434" i="2"/>
  <c r="F401" i="2" s="1"/>
  <c r="I401" i="2" s="1"/>
  <c r="E434" i="2"/>
  <c r="I442" i="2"/>
  <c r="L428" i="2"/>
  <c r="O428" i="2"/>
  <c r="I425" i="2"/>
  <c r="M426" i="2"/>
  <c r="M425" i="2"/>
  <c r="Q425" i="2" s="1"/>
  <c r="P425" i="2"/>
  <c r="P428" i="2" s="1"/>
  <c r="Q442" i="2"/>
  <c r="F428" i="2"/>
  <c r="M380" i="2"/>
  <c r="E426" i="2"/>
  <c r="I426" i="2" s="1"/>
  <c r="Q426" i="2"/>
  <c r="G428" i="2"/>
  <c r="H428" i="2"/>
  <c r="N426" i="2"/>
  <c r="N428" i="2" s="1"/>
  <c r="B428" i="2"/>
  <c r="J428" i="2"/>
  <c r="E427" i="2"/>
  <c r="I427" i="2" s="1"/>
  <c r="R427" i="2" s="1"/>
  <c r="D428" i="2"/>
  <c r="D390" i="2" s="1"/>
  <c r="E424" i="2"/>
  <c r="I424" i="2" s="1"/>
  <c r="M424" i="2"/>
  <c r="C428" i="2"/>
  <c r="C390" i="2" s="1"/>
  <c r="K428" i="2"/>
  <c r="E391" i="2"/>
  <c r="I391" i="2" s="1"/>
  <c r="M391" i="2" s="1"/>
  <c r="Q391" i="2" s="1"/>
  <c r="R391" i="2" s="1"/>
  <c r="B444" i="2"/>
  <c r="Q380" i="2"/>
  <c r="I380" i="2"/>
  <c r="Q421" i="2"/>
  <c r="K417" i="2"/>
  <c r="K368" i="2" s="1"/>
  <c r="K448" i="2" s="1"/>
  <c r="Q420" i="2"/>
  <c r="P417" i="2"/>
  <c r="P368" i="2" s="1"/>
  <c r="P448" i="2" s="1"/>
  <c r="E421" i="2"/>
  <c r="I419" i="2"/>
  <c r="K422" i="2"/>
  <c r="K379" i="2" s="1"/>
  <c r="Q416" i="2"/>
  <c r="E415" i="2"/>
  <c r="I416" i="2"/>
  <c r="E420" i="2"/>
  <c r="H422" i="2"/>
  <c r="H379" i="2" s="1"/>
  <c r="D422" i="2"/>
  <c r="D379" i="2" s="1"/>
  <c r="C417" i="2"/>
  <c r="C368" i="2" s="1"/>
  <c r="B422" i="2"/>
  <c r="B379" i="2" s="1"/>
  <c r="C422" i="2"/>
  <c r="C379" i="2" s="1"/>
  <c r="J417" i="2"/>
  <c r="J368" i="2" s="1"/>
  <c r="J448" i="2" s="1"/>
  <c r="I420" i="2"/>
  <c r="M419" i="2"/>
  <c r="P422" i="2"/>
  <c r="P379" i="2" s="1"/>
  <c r="E414" i="2"/>
  <c r="L417" i="2"/>
  <c r="L368" i="2" s="1"/>
  <c r="L448" i="2" s="1"/>
  <c r="O422" i="2"/>
  <c r="O379" i="2" s="1"/>
  <c r="I421" i="2"/>
  <c r="Q419" i="2"/>
  <c r="G422" i="2"/>
  <c r="G379" i="2" s="1"/>
  <c r="L422" i="2"/>
  <c r="L379" i="2" s="1"/>
  <c r="M421" i="2"/>
  <c r="J422" i="2"/>
  <c r="J379" i="2" s="1"/>
  <c r="Q415" i="2"/>
  <c r="B417" i="2"/>
  <c r="B368" i="2" s="1"/>
  <c r="I415" i="2"/>
  <c r="M416" i="2"/>
  <c r="E419" i="2"/>
  <c r="N422" i="2"/>
  <c r="N379" i="2" s="1"/>
  <c r="F422" i="2"/>
  <c r="F379" i="2" s="1"/>
  <c r="F417" i="2"/>
  <c r="F368" i="2" s="1"/>
  <c r="N417" i="2"/>
  <c r="N368" i="2" s="1"/>
  <c r="N448" i="2" s="1"/>
  <c r="E416" i="2"/>
  <c r="I414" i="2"/>
  <c r="G417" i="2"/>
  <c r="G368" i="2" s="1"/>
  <c r="O417" i="2"/>
  <c r="O368" i="2" s="1"/>
  <c r="O448" i="2" s="1"/>
  <c r="M415" i="2"/>
  <c r="H417" i="2"/>
  <c r="H368" i="2" s="1"/>
  <c r="M414" i="2"/>
  <c r="Q414" i="2"/>
  <c r="D417" i="2"/>
  <c r="D368" i="2" s="1"/>
  <c r="O401" i="2" l="1"/>
  <c r="Q401" i="2"/>
  <c r="R477" i="2"/>
  <c r="R476" i="2"/>
  <c r="K401" i="2"/>
  <c r="M401" i="2"/>
  <c r="R401" i="2" s="1"/>
  <c r="C511" i="2"/>
  <c r="D511" i="2"/>
  <c r="Q448" i="2"/>
  <c r="M448" i="2"/>
  <c r="Q428" i="2"/>
  <c r="R442" i="2"/>
  <c r="I434" i="2"/>
  <c r="R434" i="2" s="1"/>
  <c r="R431" i="2"/>
  <c r="R433" i="2"/>
  <c r="R432" i="2"/>
  <c r="R426" i="2"/>
  <c r="R425" i="2"/>
  <c r="I428" i="2"/>
  <c r="M428" i="2"/>
  <c r="R424" i="2"/>
  <c r="H390" i="2"/>
  <c r="L390" i="2" s="1"/>
  <c r="P390" i="2" s="1"/>
  <c r="E428" i="2"/>
  <c r="B390" i="2"/>
  <c r="G390" i="2"/>
  <c r="K390" i="2" s="1"/>
  <c r="O390" i="2" s="1"/>
  <c r="R420" i="2"/>
  <c r="R416" i="2"/>
  <c r="R421" i="2"/>
  <c r="Q422" i="2"/>
  <c r="E417" i="2"/>
  <c r="E368" i="2" s="1"/>
  <c r="I417" i="2"/>
  <c r="I368" i="2" s="1"/>
  <c r="R415" i="2"/>
  <c r="M422" i="2"/>
  <c r="Q379" i="2"/>
  <c r="M417" i="2"/>
  <c r="M368" i="2" s="1"/>
  <c r="M379" i="2"/>
  <c r="I379" i="2"/>
  <c r="E379" i="2"/>
  <c r="I422" i="2"/>
  <c r="E422" i="2"/>
  <c r="R419" i="2"/>
  <c r="R414" i="2"/>
  <c r="Q417" i="2"/>
  <c r="Q368" i="2" s="1"/>
  <c r="R428" i="2" l="1"/>
  <c r="F390" i="2"/>
  <c r="J390" i="2" s="1"/>
  <c r="N390" i="2" s="1"/>
  <c r="E390" i="2"/>
  <c r="I390" i="2" s="1"/>
  <c r="M390" i="2" s="1"/>
  <c r="Q390" i="2" s="1"/>
  <c r="R390" i="2" s="1"/>
  <c r="R417" i="2"/>
  <c r="R368" i="2" s="1"/>
  <c r="R422" i="2"/>
  <c r="R379" i="2"/>
  <c r="P335" i="2" l="1"/>
  <c r="P334" i="2"/>
  <c r="P333" i="2"/>
  <c r="P332" i="2"/>
  <c r="O335" i="2"/>
  <c r="O334" i="2"/>
  <c r="O333" i="2"/>
  <c r="O332" i="2"/>
  <c r="N335" i="2"/>
  <c r="N334" i="2"/>
  <c r="N333" i="2"/>
  <c r="N332" i="2"/>
  <c r="L335" i="2"/>
  <c r="L334" i="2"/>
  <c r="L333" i="2"/>
  <c r="L332" i="2"/>
  <c r="K335" i="2"/>
  <c r="K334" i="2"/>
  <c r="K333" i="2"/>
  <c r="K332" i="2"/>
  <c r="J335" i="2"/>
  <c r="J334" i="2"/>
  <c r="J333" i="2"/>
  <c r="J332" i="2"/>
  <c r="P323" i="2"/>
  <c r="P322" i="2"/>
  <c r="P321" i="2"/>
  <c r="P320" i="2"/>
  <c r="O323" i="2"/>
  <c r="O322" i="2"/>
  <c r="O321" i="2"/>
  <c r="O320" i="2"/>
  <c r="N323" i="2"/>
  <c r="N322" i="2"/>
  <c r="N321" i="2"/>
  <c r="N320" i="2"/>
  <c r="L323" i="2"/>
  <c r="L322" i="2"/>
  <c r="L321" i="2"/>
  <c r="L320" i="2"/>
  <c r="K323" i="2"/>
  <c r="K322" i="2"/>
  <c r="K321" i="2"/>
  <c r="K320" i="2"/>
  <c r="J323" i="2"/>
  <c r="J322" i="2"/>
  <c r="J321" i="2"/>
  <c r="J320" i="2"/>
  <c r="P311" i="2"/>
  <c r="P310" i="2"/>
  <c r="P309" i="2"/>
  <c r="P308" i="2"/>
  <c r="O311" i="2"/>
  <c r="O310" i="2"/>
  <c r="O309" i="2"/>
  <c r="O308" i="2"/>
  <c r="N311" i="2"/>
  <c r="N310" i="2"/>
  <c r="N309" i="2"/>
  <c r="N308" i="2"/>
  <c r="L311" i="2"/>
  <c r="L310" i="2"/>
  <c r="L309" i="2"/>
  <c r="L308" i="2"/>
  <c r="K311" i="2"/>
  <c r="K308" i="2"/>
  <c r="K310" i="2"/>
  <c r="K309" i="2"/>
  <c r="J311" i="2"/>
  <c r="J310" i="2"/>
  <c r="J309" i="2"/>
  <c r="J308" i="2"/>
  <c r="M308" i="2" s="1"/>
  <c r="Y289" i="2"/>
  <c r="Y298" i="2"/>
  <c r="Y301" i="2"/>
  <c r="Y300" i="2"/>
  <c r="Y299" i="2"/>
  <c r="Y292" i="2"/>
  <c r="Y291" i="2"/>
  <c r="Y290" i="2"/>
  <c r="B306" i="2"/>
  <c r="M321" i="2" l="1"/>
  <c r="M323" i="2"/>
  <c r="Q308" i="2"/>
  <c r="M311" i="2"/>
  <c r="M322" i="2"/>
  <c r="M335" i="2"/>
  <c r="P312" i="2"/>
  <c r="K324" i="2"/>
  <c r="N336" i="2"/>
  <c r="M334" i="2"/>
  <c r="O336" i="2"/>
  <c r="K312" i="2"/>
  <c r="Q310" i="2"/>
  <c r="Q321" i="2"/>
  <c r="K336" i="2"/>
  <c r="Q333" i="2"/>
  <c r="L312" i="2"/>
  <c r="Q311" i="2"/>
  <c r="Q322" i="2"/>
  <c r="Q334" i="2"/>
  <c r="M333" i="2"/>
  <c r="O312" i="2"/>
  <c r="M309" i="2"/>
  <c r="Q323" i="2"/>
  <c r="Q335" i="2"/>
  <c r="P336" i="2"/>
  <c r="L336" i="2"/>
  <c r="N312" i="2"/>
  <c r="M310" i="2"/>
  <c r="M320" i="2"/>
  <c r="L324" i="2"/>
  <c r="M332" i="2"/>
  <c r="Q332" i="2"/>
  <c r="J336" i="2"/>
  <c r="J312" i="2"/>
  <c r="O324" i="2"/>
  <c r="Q309" i="2"/>
  <c r="J324" i="2"/>
  <c r="P324" i="2"/>
  <c r="Q320" i="2"/>
  <c r="N324" i="2"/>
  <c r="P330" i="2"/>
  <c r="O330" i="2"/>
  <c r="N330" i="2"/>
  <c r="L330" i="2"/>
  <c r="K330" i="2"/>
  <c r="J330" i="2"/>
  <c r="H330" i="2"/>
  <c r="G330" i="2"/>
  <c r="F330" i="2"/>
  <c r="D330" i="2"/>
  <c r="C330" i="2"/>
  <c r="B330" i="2"/>
  <c r="P318" i="2"/>
  <c r="O318" i="2"/>
  <c r="N318" i="2"/>
  <c r="L318" i="2"/>
  <c r="K318" i="2"/>
  <c r="J318" i="2"/>
  <c r="H318" i="2"/>
  <c r="G318" i="2"/>
  <c r="F318" i="2"/>
  <c r="D318" i="2"/>
  <c r="C318" i="2"/>
  <c r="B318" i="2"/>
  <c r="P306" i="2"/>
  <c r="O306" i="2"/>
  <c r="N306" i="2"/>
  <c r="L306" i="2"/>
  <c r="K306" i="2"/>
  <c r="J306" i="2"/>
  <c r="H306" i="2"/>
  <c r="G306" i="2"/>
  <c r="F306" i="2"/>
  <c r="D306" i="2"/>
  <c r="C306" i="2"/>
  <c r="B12" i="2"/>
  <c r="C265" i="2"/>
  <c r="D265" i="2"/>
  <c r="F265" i="2"/>
  <c r="G265" i="2"/>
  <c r="H265" i="2"/>
  <c r="J265" i="2"/>
  <c r="K265" i="2"/>
  <c r="L265" i="2"/>
  <c r="N265" i="2"/>
  <c r="O265" i="2"/>
  <c r="P265" i="2"/>
  <c r="B265" i="2"/>
  <c r="C264" i="2"/>
  <c r="D264" i="2"/>
  <c r="F264" i="2"/>
  <c r="G264" i="2"/>
  <c r="H264" i="2"/>
  <c r="J264" i="2"/>
  <c r="K264" i="2"/>
  <c r="L264" i="2"/>
  <c r="N264" i="2"/>
  <c r="O264" i="2"/>
  <c r="P264" i="2"/>
  <c r="B264" i="2"/>
  <c r="C263" i="2"/>
  <c r="D263" i="2"/>
  <c r="F263" i="2"/>
  <c r="G263" i="2"/>
  <c r="H263" i="2"/>
  <c r="J263" i="2"/>
  <c r="K263" i="2"/>
  <c r="L263" i="2"/>
  <c r="N263" i="2"/>
  <c r="O263" i="2"/>
  <c r="P263" i="2"/>
  <c r="B263" i="2"/>
  <c r="C262" i="2"/>
  <c r="D262" i="2"/>
  <c r="F262" i="2"/>
  <c r="G262" i="2"/>
  <c r="H262" i="2"/>
  <c r="J262" i="2"/>
  <c r="K262" i="2"/>
  <c r="L262" i="2"/>
  <c r="N262" i="2"/>
  <c r="O262" i="2"/>
  <c r="P262" i="2"/>
  <c r="B262" i="2"/>
  <c r="N260" i="2"/>
  <c r="O260" i="2"/>
  <c r="P260" i="2"/>
  <c r="C260" i="2"/>
  <c r="D260" i="2"/>
  <c r="F260" i="2"/>
  <c r="G260" i="2"/>
  <c r="H260" i="2"/>
  <c r="J260" i="2"/>
  <c r="K260" i="2"/>
  <c r="L260" i="2"/>
  <c r="B260" i="2"/>
  <c r="O259" i="2"/>
  <c r="P259" i="2"/>
  <c r="C259" i="2"/>
  <c r="D259" i="2"/>
  <c r="F259" i="2"/>
  <c r="G259" i="2"/>
  <c r="H259" i="2"/>
  <c r="J259" i="2"/>
  <c r="K259" i="2"/>
  <c r="L259" i="2"/>
  <c r="N259" i="2"/>
  <c r="B259" i="2"/>
  <c r="N258" i="2"/>
  <c r="O258" i="2"/>
  <c r="P258" i="2"/>
  <c r="C258" i="2"/>
  <c r="D258" i="2"/>
  <c r="F258" i="2"/>
  <c r="G258" i="2"/>
  <c r="H258" i="2"/>
  <c r="J258" i="2"/>
  <c r="K258" i="2"/>
  <c r="L258" i="2"/>
  <c r="B258" i="2"/>
  <c r="N257" i="2"/>
  <c r="O257" i="2"/>
  <c r="P257" i="2"/>
  <c r="C257" i="2"/>
  <c r="D257" i="2"/>
  <c r="F257" i="2"/>
  <c r="G257" i="2"/>
  <c r="H257" i="2"/>
  <c r="J257" i="2"/>
  <c r="K257" i="2"/>
  <c r="L257" i="2"/>
  <c r="B257" i="2"/>
  <c r="O255" i="2"/>
  <c r="P255" i="2"/>
  <c r="C255" i="2"/>
  <c r="D255" i="2"/>
  <c r="F255" i="2"/>
  <c r="G255" i="2"/>
  <c r="H255" i="2"/>
  <c r="J255" i="2"/>
  <c r="K255" i="2"/>
  <c r="L255" i="2"/>
  <c r="N255" i="2"/>
  <c r="B255" i="2"/>
  <c r="N254" i="2"/>
  <c r="O254" i="2"/>
  <c r="P254" i="2"/>
  <c r="C254" i="2"/>
  <c r="D254" i="2"/>
  <c r="F254" i="2"/>
  <c r="G254" i="2"/>
  <c r="H254" i="2"/>
  <c r="J254" i="2"/>
  <c r="K254" i="2"/>
  <c r="L254" i="2"/>
  <c r="B254" i="2"/>
  <c r="N253" i="2"/>
  <c r="O253" i="2"/>
  <c r="P253" i="2"/>
  <c r="C253" i="2"/>
  <c r="D253" i="2"/>
  <c r="F253" i="2"/>
  <c r="G253" i="2"/>
  <c r="H253" i="2"/>
  <c r="J253" i="2"/>
  <c r="K253" i="2"/>
  <c r="L253" i="2"/>
  <c r="B253" i="2"/>
  <c r="N252" i="2"/>
  <c r="O252" i="2"/>
  <c r="P252" i="2"/>
  <c r="D252" i="2"/>
  <c r="F252" i="2"/>
  <c r="G252" i="2"/>
  <c r="H252" i="2"/>
  <c r="J252" i="2"/>
  <c r="K252" i="2"/>
  <c r="L252" i="2"/>
  <c r="C252" i="2"/>
  <c r="B252" i="2"/>
  <c r="N250" i="2"/>
  <c r="O250" i="2"/>
  <c r="P250" i="2"/>
  <c r="C250" i="2"/>
  <c r="D250" i="2"/>
  <c r="F250" i="2"/>
  <c r="G250" i="2"/>
  <c r="H250" i="2"/>
  <c r="J250" i="2"/>
  <c r="K250" i="2"/>
  <c r="L250" i="2"/>
  <c r="N249" i="2"/>
  <c r="O249" i="2"/>
  <c r="P249" i="2"/>
  <c r="C249" i="2"/>
  <c r="D249" i="2"/>
  <c r="F249" i="2"/>
  <c r="G249" i="2"/>
  <c r="H249" i="2"/>
  <c r="J249" i="2"/>
  <c r="K249" i="2"/>
  <c r="L249" i="2"/>
  <c r="N248" i="2"/>
  <c r="O248" i="2"/>
  <c r="P248" i="2"/>
  <c r="K248" i="2"/>
  <c r="L248" i="2"/>
  <c r="J248" i="2"/>
  <c r="G248" i="2"/>
  <c r="H248" i="2"/>
  <c r="F248" i="2"/>
  <c r="C248" i="2"/>
  <c r="D248" i="2"/>
  <c r="B250" i="2"/>
  <c r="B249" i="2"/>
  <c r="B248" i="2"/>
  <c r="B247" i="2"/>
  <c r="O247" i="2"/>
  <c r="P247" i="2"/>
  <c r="P267" i="2" s="1"/>
  <c r="N247" i="2"/>
  <c r="K247" i="2"/>
  <c r="L247" i="2"/>
  <c r="J247" i="2"/>
  <c r="H247" i="2"/>
  <c r="G247" i="2"/>
  <c r="F247" i="2"/>
  <c r="D247" i="2"/>
  <c r="C247" i="2"/>
  <c r="P299" i="2"/>
  <c r="P298" i="2"/>
  <c r="P297" i="2"/>
  <c r="P296" i="2"/>
  <c r="O299" i="2"/>
  <c r="O298" i="2"/>
  <c r="O297" i="2"/>
  <c r="O296" i="2"/>
  <c r="N299" i="2"/>
  <c r="N298" i="2"/>
  <c r="N297" i="2"/>
  <c r="N296" i="2"/>
  <c r="L299" i="2"/>
  <c r="L298" i="2"/>
  <c r="L297" i="2"/>
  <c r="L296" i="2"/>
  <c r="K299" i="2"/>
  <c r="K298" i="2"/>
  <c r="K297" i="2"/>
  <c r="K296" i="2"/>
  <c r="J299" i="2"/>
  <c r="J298" i="2"/>
  <c r="J297" i="2"/>
  <c r="J296" i="2"/>
  <c r="Q288" i="2"/>
  <c r="P293" i="2"/>
  <c r="O293" i="2"/>
  <c r="N293" i="2"/>
  <c r="M288" i="2"/>
  <c r="L293" i="2"/>
  <c r="K293" i="2"/>
  <c r="J293" i="2"/>
  <c r="I288" i="2"/>
  <c r="H293" i="2"/>
  <c r="G293" i="2"/>
  <c r="F293" i="2"/>
  <c r="E288" i="2"/>
  <c r="D293" i="2"/>
  <c r="C293" i="2"/>
  <c r="B293" i="2"/>
  <c r="U309" i="2"/>
  <c r="B161" i="2"/>
  <c r="P193" i="2"/>
  <c r="P237" i="2" s="1"/>
  <c r="K193" i="2"/>
  <c r="K237" i="2" s="1"/>
  <c r="L193" i="2"/>
  <c r="L237" i="2" s="1"/>
  <c r="N193" i="2"/>
  <c r="N237" i="2" s="1"/>
  <c r="O193" i="2"/>
  <c r="O237" i="2" s="1"/>
  <c r="J193" i="2"/>
  <c r="J192" i="2"/>
  <c r="J236" i="2" s="1"/>
  <c r="K192" i="2"/>
  <c r="K236" i="2" s="1"/>
  <c r="L192" i="2"/>
  <c r="L236" i="2" s="1"/>
  <c r="N192" i="2"/>
  <c r="O192" i="2"/>
  <c r="O236" i="2" s="1"/>
  <c r="P192" i="2"/>
  <c r="P236" i="2" s="1"/>
  <c r="J191" i="2"/>
  <c r="J235" i="2" s="1"/>
  <c r="K191" i="2"/>
  <c r="K235" i="2" s="1"/>
  <c r="L191" i="2"/>
  <c r="L235" i="2" s="1"/>
  <c r="N191" i="2"/>
  <c r="N235" i="2" s="1"/>
  <c r="O191" i="2"/>
  <c r="O235" i="2" s="1"/>
  <c r="P191" i="2"/>
  <c r="P235" i="2" s="1"/>
  <c r="J190" i="2"/>
  <c r="J234" i="2" s="1"/>
  <c r="K190" i="2"/>
  <c r="L190" i="2"/>
  <c r="L234" i="2" s="1"/>
  <c r="N190" i="2"/>
  <c r="N234" i="2" s="1"/>
  <c r="O190" i="2"/>
  <c r="P190" i="2"/>
  <c r="P234" i="2" s="1"/>
  <c r="C189" i="2"/>
  <c r="D189" i="2"/>
  <c r="F189" i="2"/>
  <c r="G189" i="2"/>
  <c r="H189" i="2"/>
  <c r="J189" i="2"/>
  <c r="K189" i="2"/>
  <c r="L189" i="2"/>
  <c r="N189" i="2"/>
  <c r="O189" i="2"/>
  <c r="P189" i="2"/>
  <c r="J179" i="2"/>
  <c r="J231" i="2" s="1"/>
  <c r="K179" i="2"/>
  <c r="K231" i="2" s="1"/>
  <c r="L179" i="2"/>
  <c r="L231" i="2" s="1"/>
  <c r="N179" i="2"/>
  <c r="O179" i="2"/>
  <c r="O231" i="2" s="1"/>
  <c r="P179" i="2"/>
  <c r="P231" i="2" s="1"/>
  <c r="J178" i="2"/>
  <c r="J230" i="2" s="1"/>
  <c r="K178" i="2"/>
  <c r="K230" i="2" s="1"/>
  <c r="L178" i="2"/>
  <c r="L230" i="2" s="1"/>
  <c r="N178" i="2"/>
  <c r="O178" i="2"/>
  <c r="O230" i="2" s="1"/>
  <c r="P178" i="2"/>
  <c r="P230" i="2" s="1"/>
  <c r="N177" i="2"/>
  <c r="O177" i="2"/>
  <c r="O229" i="2" s="1"/>
  <c r="P177" i="2"/>
  <c r="P229" i="2" s="1"/>
  <c r="J177" i="2"/>
  <c r="K177" i="2"/>
  <c r="K229" i="2" s="1"/>
  <c r="L177" i="2"/>
  <c r="L229" i="2" s="1"/>
  <c r="O176" i="2"/>
  <c r="O228" i="2" s="1"/>
  <c r="P176" i="2"/>
  <c r="J176" i="2"/>
  <c r="K176" i="2"/>
  <c r="L176" i="2"/>
  <c r="L228" i="2" s="1"/>
  <c r="N176" i="2"/>
  <c r="N228" i="2" s="1"/>
  <c r="D175" i="2"/>
  <c r="F175" i="2"/>
  <c r="G175" i="2"/>
  <c r="H175" i="2"/>
  <c r="J175" i="2"/>
  <c r="K175" i="2"/>
  <c r="L175" i="2"/>
  <c r="N175" i="2"/>
  <c r="O175" i="2"/>
  <c r="P175" i="2"/>
  <c r="C175" i="2"/>
  <c r="C161" i="2"/>
  <c r="C147" i="2"/>
  <c r="B147" i="2"/>
  <c r="Q206" i="2"/>
  <c r="M206" i="2"/>
  <c r="I206" i="2"/>
  <c r="E206" i="2"/>
  <c r="E380" i="2" s="1"/>
  <c r="J165" i="2"/>
  <c r="K165" i="2"/>
  <c r="K225" i="2" s="1"/>
  <c r="L165" i="2"/>
  <c r="L225" i="2" s="1"/>
  <c r="N165" i="2"/>
  <c r="N225" i="2" s="1"/>
  <c r="O165" i="2"/>
  <c r="O225" i="2" s="1"/>
  <c r="P165" i="2"/>
  <c r="P225" i="2" s="1"/>
  <c r="P164" i="2"/>
  <c r="P224" i="2" s="1"/>
  <c r="J164" i="2"/>
  <c r="J224" i="2" s="1"/>
  <c r="K164" i="2"/>
  <c r="K224" i="2" s="1"/>
  <c r="L164" i="2"/>
  <c r="L224" i="2" s="1"/>
  <c r="N164" i="2"/>
  <c r="N224" i="2" s="1"/>
  <c r="O164" i="2"/>
  <c r="O224" i="2" s="1"/>
  <c r="N163" i="2"/>
  <c r="N223" i="2" s="1"/>
  <c r="J163" i="2"/>
  <c r="K163" i="2"/>
  <c r="K223" i="2" s="1"/>
  <c r="L163" i="2"/>
  <c r="L223" i="2" s="1"/>
  <c r="O163" i="2"/>
  <c r="O223" i="2" s="1"/>
  <c r="P163" i="2"/>
  <c r="P223" i="2" s="1"/>
  <c r="J162" i="2"/>
  <c r="J222" i="2" s="1"/>
  <c r="K162" i="2"/>
  <c r="K222" i="2" s="1"/>
  <c r="L162" i="2"/>
  <c r="L222" i="2" s="1"/>
  <c r="N162" i="2"/>
  <c r="N222" i="2" s="1"/>
  <c r="O162" i="2"/>
  <c r="O222" i="2" s="1"/>
  <c r="P162" i="2"/>
  <c r="P222" i="2" s="1"/>
  <c r="O161" i="2"/>
  <c r="P161" i="2"/>
  <c r="D161" i="2"/>
  <c r="F161" i="2"/>
  <c r="G161" i="2"/>
  <c r="H161" i="2"/>
  <c r="J161" i="2"/>
  <c r="K161" i="2"/>
  <c r="L161" i="2"/>
  <c r="N161" i="2"/>
  <c r="N151" i="2"/>
  <c r="N219" i="2" s="1"/>
  <c r="O151" i="2"/>
  <c r="O219" i="2" s="1"/>
  <c r="P151" i="2"/>
  <c r="P219" i="2" s="1"/>
  <c r="L151" i="2"/>
  <c r="L219" i="2" s="1"/>
  <c r="J151" i="2"/>
  <c r="J219" i="2" s="1"/>
  <c r="K151" i="2"/>
  <c r="K219" i="2" s="1"/>
  <c r="O150" i="2"/>
  <c r="O218" i="2" s="1"/>
  <c r="P150" i="2"/>
  <c r="P218" i="2" s="1"/>
  <c r="N150" i="2"/>
  <c r="J150" i="2"/>
  <c r="J218" i="2" s="1"/>
  <c r="K150" i="2"/>
  <c r="K218" i="2" s="1"/>
  <c r="L150" i="2"/>
  <c r="L218" i="2" s="1"/>
  <c r="N149" i="2"/>
  <c r="N217" i="2" s="1"/>
  <c r="O149" i="2"/>
  <c r="O217" i="2" s="1"/>
  <c r="P149" i="2"/>
  <c r="P217" i="2" s="1"/>
  <c r="J149" i="2"/>
  <c r="J217" i="2" s="1"/>
  <c r="K149" i="2"/>
  <c r="K217" i="2" s="1"/>
  <c r="L149" i="2"/>
  <c r="L217" i="2" s="1"/>
  <c r="N148" i="2"/>
  <c r="N216" i="2" s="1"/>
  <c r="O148" i="2"/>
  <c r="O216" i="2" s="1"/>
  <c r="P148" i="2"/>
  <c r="P216" i="2" s="1"/>
  <c r="J148" i="2"/>
  <c r="J216" i="2" s="1"/>
  <c r="K148" i="2"/>
  <c r="K216" i="2" s="1"/>
  <c r="L148" i="2"/>
  <c r="L216" i="2" s="1"/>
  <c r="N147" i="2"/>
  <c r="O147" i="2"/>
  <c r="P147" i="2"/>
  <c r="J147" i="2"/>
  <c r="K147" i="2"/>
  <c r="L147" i="2"/>
  <c r="F147" i="2"/>
  <c r="G147" i="2"/>
  <c r="H147" i="2"/>
  <c r="D147" i="2"/>
  <c r="B189" i="2"/>
  <c r="B175" i="2"/>
  <c r="J141" i="1"/>
  <c r="K141" i="1"/>
  <c r="C30" i="1"/>
  <c r="C129" i="1" s="1"/>
  <c r="C492" i="2" s="1"/>
  <c r="B152" i="1"/>
  <c r="C152" i="1"/>
  <c r="D152" i="1"/>
  <c r="B151" i="1"/>
  <c r="C151" i="1"/>
  <c r="D151" i="1"/>
  <c r="E151" i="1"/>
  <c r="J151" i="1"/>
  <c r="K151" i="1"/>
  <c r="L151" i="1"/>
  <c r="M151" i="1"/>
  <c r="Q138" i="2"/>
  <c r="M138" i="2"/>
  <c r="I138" i="2"/>
  <c r="E138" i="2"/>
  <c r="F72" i="2"/>
  <c r="C12" i="2"/>
  <c r="B17" i="2" s="1"/>
  <c r="D12" i="2"/>
  <c r="C17" i="2" s="1"/>
  <c r="F12" i="2"/>
  <c r="D17" i="2" s="1"/>
  <c r="G12" i="2"/>
  <c r="H12" i="2"/>
  <c r="J12" i="2"/>
  <c r="H17" i="2" s="1"/>
  <c r="J7" i="2" s="1"/>
  <c r="K12" i="2"/>
  <c r="J17" i="2" s="1"/>
  <c r="L12" i="2"/>
  <c r="K17" i="2" s="1"/>
  <c r="N12" i="2"/>
  <c r="L17" i="2" s="1"/>
  <c r="O12" i="2"/>
  <c r="N17" i="2" s="1"/>
  <c r="O7" i="2" s="1"/>
  <c r="P12" i="2"/>
  <c r="O17" i="2" s="1"/>
  <c r="O22" i="2" s="1"/>
  <c r="B13" i="2"/>
  <c r="P18" i="2" s="1"/>
  <c r="P23" i="2" s="1"/>
  <c r="C13" i="2"/>
  <c r="B18" i="2" s="1"/>
  <c r="D13" i="2"/>
  <c r="C18" i="2" s="1"/>
  <c r="F13" i="2"/>
  <c r="D18" i="2" s="1"/>
  <c r="G13" i="2"/>
  <c r="F18" i="2" s="1"/>
  <c r="G8" i="2" s="1"/>
  <c r="H13" i="2"/>
  <c r="G18" i="2" s="1"/>
  <c r="G23" i="2" s="1"/>
  <c r="J13" i="2"/>
  <c r="K13" i="2"/>
  <c r="J18" i="2" s="1"/>
  <c r="L13" i="2"/>
  <c r="K18" i="2" s="1"/>
  <c r="N13" i="2"/>
  <c r="L18" i="2" s="1"/>
  <c r="O13" i="2"/>
  <c r="N18" i="2" s="1"/>
  <c r="O8" i="2" s="1"/>
  <c r="P13" i="2"/>
  <c r="O18" i="2" s="1"/>
  <c r="O23" i="2" s="1"/>
  <c r="B14" i="2"/>
  <c r="C14" i="2"/>
  <c r="D14" i="2"/>
  <c r="F14" i="2"/>
  <c r="G14" i="2"/>
  <c r="G9" i="2" s="1"/>
  <c r="G478" i="2" s="1"/>
  <c r="G480" i="2" s="1"/>
  <c r="H14" i="2"/>
  <c r="H9" i="2" s="1"/>
  <c r="H478" i="2" s="1"/>
  <c r="H480" i="2" s="1"/>
  <c r="J14" i="2"/>
  <c r="K14" i="2"/>
  <c r="L14" i="2"/>
  <c r="N14" i="2"/>
  <c r="O14" i="2"/>
  <c r="O9" i="2" s="1"/>
  <c r="O478" i="2" s="1"/>
  <c r="O480" i="2" s="1"/>
  <c r="P14" i="2"/>
  <c r="C15" i="2"/>
  <c r="D15" i="2"/>
  <c r="F15" i="2"/>
  <c r="D20" i="2" s="1"/>
  <c r="D496" i="2" s="1"/>
  <c r="G15" i="2"/>
  <c r="F20" i="2" s="1"/>
  <c r="F496" i="2" s="1"/>
  <c r="H15" i="2"/>
  <c r="J15" i="2"/>
  <c r="K15" i="2"/>
  <c r="J20" i="2" s="1"/>
  <c r="J496" i="2" s="1"/>
  <c r="L15" i="2"/>
  <c r="N15" i="2"/>
  <c r="L20" i="2" s="1"/>
  <c r="L496" i="2" s="1"/>
  <c r="O15" i="2"/>
  <c r="N20" i="2" s="1"/>
  <c r="N496" i="2" s="1"/>
  <c r="P15" i="2"/>
  <c r="O20" i="2" s="1"/>
  <c r="O496" i="2" s="1"/>
  <c r="Q27" i="2"/>
  <c r="Q28" i="2"/>
  <c r="Q29" i="2"/>
  <c r="M30" i="2"/>
  <c r="Q30" i="2"/>
  <c r="O49" i="2"/>
  <c r="O76" i="2" s="1"/>
  <c r="P58" i="2"/>
  <c r="O58" i="2"/>
  <c r="N58" i="2"/>
  <c r="L58" i="2"/>
  <c r="L85" i="2" s="1"/>
  <c r="K58" i="2"/>
  <c r="K85" i="2" s="1"/>
  <c r="J58" i="2"/>
  <c r="J85" i="2" s="1"/>
  <c r="P40" i="2"/>
  <c r="P67" i="2" s="1"/>
  <c r="O40" i="2"/>
  <c r="O67" i="2" s="1"/>
  <c r="N40" i="2"/>
  <c r="N67" i="2" s="1"/>
  <c r="L40" i="2"/>
  <c r="L67" i="2" s="1"/>
  <c r="K40" i="2"/>
  <c r="K67" i="2" s="1"/>
  <c r="J40" i="2"/>
  <c r="J67" i="2" s="1"/>
  <c r="P52" i="2"/>
  <c r="O52" i="2"/>
  <c r="N52" i="2"/>
  <c r="N85" i="2" s="1"/>
  <c r="L52" i="2"/>
  <c r="L79" i="2" s="1"/>
  <c r="K52" i="2"/>
  <c r="K79" i="2" s="1"/>
  <c r="J52" i="2"/>
  <c r="J79" i="2" s="1"/>
  <c r="P46" i="2"/>
  <c r="O73" i="2" s="1"/>
  <c r="O46" i="2"/>
  <c r="N46" i="2"/>
  <c r="N73" i="2" s="1"/>
  <c r="L46" i="2"/>
  <c r="L73" i="2" s="1"/>
  <c r="K46" i="2"/>
  <c r="K73" i="2" s="1"/>
  <c r="J46" i="2"/>
  <c r="J73" i="2" s="1"/>
  <c r="J57" i="2"/>
  <c r="J84" i="2" s="1"/>
  <c r="P57" i="2"/>
  <c r="P56" i="2"/>
  <c r="P55" i="2"/>
  <c r="O57" i="2"/>
  <c r="O56" i="2"/>
  <c r="O55" i="2"/>
  <c r="N57" i="2"/>
  <c r="N56" i="2"/>
  <c r="N55" i="2"/>
  <c r="L56" i="2"/>
  <c r="L83" i="2" s="1"/>
  <c r="L55" i="2"/>
  <c r="L82" i="2" s="1"/>
  <c r="K56" i="2"/>
  <c r="K83" i="2" s="1"/>
  <c r="K55" i="2"/>
  <c r="K82" i="2" s="1"/>
  <c r="L57" i="2"/>
  <c r="L84" i="2" s="1"/>
  <c r="K57" i="2"/>
  <c r="K84" i="2" s="1"/>
  <c r="J56" i="2"/>
  <c r="J83" i="2" s="1"/>
  <c r="J55" i="2"/>
  <c r="J82" i="2" s="1"/>
  <c r="O51" i="2"/>
  <c r="O78" i="2" s="1"/>
  <c r="N51" i="2"/>
  <c r="N84" i="2" s="1"/>
  <c r="P51" i="2"/>
  <c r="P78" i="2" s="1"/>
  <c r="J51" i="2"/>
  <c r="J78" i="2" s="1"/>
  <c r="L51" i="2"/>
  <c r="L78" i="2" s="1"/>
  <c r="K51" i="2"/>
  <c r="K78" i="2" s="1"/>
  <c r="P50" i="2"/>
  <c r="P83" i="2" s="1"/>
  <c r="O50" i="2"/>
  <c r="O77" i="2" s="1"/>
  <c r="N50" i="2"/>
  <c r="N83" i="2" s="1"/>
  <c r="L50" i="2"/>
  <c r="L77" i="2" s="1"/>
  <c r="K50" i="2"/>
  <c r="K77" i="2" s="1"/>
  <c r="J50" i="2"/>
  <c r="J77" i="2" s="1"/>
  <c r="P49" i="2"/>
  <c r="P82" i="2" s="1"/>
  <c r="N49" i="2"/>
  <c r="N76" i="2" s="1"/>
  <c r="L49" i="2"/>
  <c r="L76" i="2" s="1"/>
  <c r="K49" i="2"/>
  <c r="K76" i="2" s="1"/>
  <c r="J49" i="2"/>
  <c r="J76" i="2" s="1"/>
  <c r="P45" i="2"/>
  <c r="P72" i="2" s="1"/>
  <c r="O45" i="2"/>
  <c r="O72" i="2" s="1"/>
  <c r="N45" i="2"/>
  <c r="N72" i="2" s="1"/>
  <c r="L45" i="2"/>
  <c r="L72" i="2" s="1"/>
  <c r="K45" i="2"/>
  <c r="K72" i="2" s="1"/>
  <c r="J45" i="2"/>
  <c r="J72" i="2" s="1"/>
  <c r="P44" i="2"/>
  <c r="P71" i="2" s="1"/>
  <c r="O44" i="2"/>
  <c r="O71" i="2" s="1"/>
  <c r="N44" i="2"/>
  <c r="N71" i="2" s="1"/>
  <c r="L44" i="2"/>
  <c r="L71" i="2" s="1"/>
  <c r="K44" i="2"/>
  <c r="K71" i="2" s="1"/>
  <c r="J44" i="2"/>
  <c r="P43" i="2"/>
  <c r="P70" i="2" s="1"/>
  <c r="O43" i="2"/>
  <c r="O70" i="2" s="1"/>
  <c r="N43" i="2"/>
  <c r="N70" i="2" s="1"/>
  <c r="L43" i="2"/>
  <c r="L70" i="2" s="1"/>
  <c r="K43" i="2"/>
  <c r="K70" i="2" s="1"/>
  <c r="J43" i="2"/>
  <c r="J70" i="2" s="1"/>
  <c r="P39" i="2"/>
  <c r="P66" i="2" s="1"/>
  <c r="O39" i="2"/>
  <c r="O66" i="2" s="1"/>
  <c r="N39" i="2"/>
  <c r="N66" i="2" s="1"/>
  <c r="K39" i="2"/>
  <c r="K66" i="2" s="1"/>
  <c r="J39" i="2"/>
  <c r="J66" i="2" s="1"/>
  <c r="L39" i="2"/>
  <c r="L66" i="2" s="1"/>
  <c r="B119" i="1"/>
  <c r="D34" i="1"/>
  <c r="D61" i="1" s="1"/>
  <c r="D33" i="1"/>
  <c r="D60" i="1" s="1"/>
  <c r="C34" i="1"/>
  <c r="C61" i="1" s="1"/>
  <c r="C33" i="1"/>
  <c r="B34" i="1"/>
  <c r="B61" i="1" s="1"/>
  <c r="B33" i="1"/>
  <c r="B60" i="1" s="1"/>
  <c r="C29" i="1"/>
  <c r="C56" i="1" s="1"/>
  <c r="C28" i="1"/>
  <c r="C55" i="1" s="1"/>
  <c r="C27" i="1"/>
  <c r="D29" i="1"/>
  <c r="D118" i="1" s="1"/>
  <c r="D28" i="1"/>
  <c r="D55" i="1" s="1"/>
  <c r="D27" i="1"/>
  <c r="B29" i="1"/>
  <c r="B118" i="1" s="1"/>
  <c r="B28" i="1"/>
  <c r="B55" i="1" s="1"/>
  <c r="B27" i="1"/>
  <c r="P71" i="1"/>
  <c r="P133" i="1" s="1"/>
  <c r="O71" i="1"/>
  <c r="O133" i="1" s="1"/>
  <c r="N71" i="1"/>
  <c r="N133" i="1" s="1"/>
  <c r="L71" i="1"/>
  <c r="L133" i="1" s="1"/>
  <c r="K71" i="1"/>
  <c r="K133" i="1" s="1"/>
  <c r="J71" i="1"/>
  <c r="H71" i="1"/>
  <c r="H133" i="1" s="1"/>
  <c r="G71" i="1"/>
  <c r="G133" i="1" s="1"/>
  <c r="F71" i="1"/>
  <c r="D71" i="1"/>
  <c r="D133" i="1" s="1"/>
  <c r="C71" i="1"/>
  <c r="C133" i="1" s="1"/>
  <c r="P89" i="1"/>
  <c r="P88" i="1"/>
  <c r="O89" i="1"/>
  <c r="O88" i="1"/>
  <c r="N89" i="1"/>
  <c r="N88" i="1"/>
  <c r="L89" i="1"/>
  <c r="L88" i="1"/>
  <c r="K89" i="1"/>
  <c r="K88" i="1"/>
  <c r="J89" i="1"/>
  <c r="H89" i="1"/>
  <c r="H88" i="1"/>
  <c r="G89" i="1"/>
  <c r="G88" i="1"/>
  <c r="J88" i="1"/>
  <c r="F89" i="1"/>
  <c r="F88" i="1"/>
  <c r="P85" i="1"/>
  <c r="P132" i="1" s="1"/>
  <c r="O85" i="1"/>
  <c r="O132" i="1" s="1"/>
  <c r="N85" i="1"/>
  <c r="N132" i="1" s="1"/>
  <c r="D89" i="1"/>
  <c r="L85" i="1"/>
  <c r="L132" i="1" s="1"/>
  <c r="D88" i="1"/>
  <c r="K85" i="1"/>
  <c r="C89" i="1"/>
  <c r="P84" i="1"/>
  <c r="P121" i="1" s="1"/>
  <c r="C88" i="1"/>
  <c r="O84" i="1"/>
  <c r="O121" i="1" s="1"/>
  <c r="N84" i="1"/>
  <c r="L84" i="1"/>
  <c r="B89" i="1"/>
  <c r="K84" i="1"/>
  <c r="K121" i="1" s="1"/>
  <c r="B88" i="1"/>
  <c r="P83" i="1"/>
  <c r="O83" i="1"/>
  <c r="N83" i="1"/>
  <c r="L83" i="1"/>
  <c r="H85" i="1"/>
  <c r="H132" i="1" s="1"/>
  <c r="K83" i="1"/>
  <c r="H84" i="1"/>
  <c r="H121" i="1" s="1"/>
  <c r="H83" i="1"/>
  <c r="P82" i="1"/>
  <c r="H82" i="1"/>
  <c r="O82" i="1"/>
  <c r="G85" i="1"/>
  <c r="G132" i="1" s="1"/>
  <c r="N82" i="1"/>
  <c r="L82" i="1"/>
  <c r="G84" i="1"/>
  <c r="K82" i="1"/>
  <c r="G83" i="1"/>
  <c r="G82" i="1"/>
  <c r="F85" i="1"/>
  <c r="F132" i="1" s="1"/>
  <c r="J85" i="1"/>
  <c r="J132" i="1" s="1"/>
  <c r="F84" i="1"/>
  <c r="J84" i="1"/>
  <c r="J121" i="1" s="1"/>
  <c r="J82" i="1"/>
  <c r="F83" i="1"/>
  <c r="F82" i="1"/>
  <c r="J83" i="1"/>
  <c r="B83" i="1"/>
  <c r="D85" i="1"/>
  <c r="D132" i="1" s="1"/>
  <c r="D84" i="1"/>
  <c r="D121" i="1" s="1"/>
  <c r="D83" i="1"/>
  <c r="D82" i="1"/>
  <c r="C85" i="1"/>
  <c r="C132" i="1" s="1"/>
  <c r="C84" i="1"/>
  <c r="C121" i="1" s="1"/>
  <c r="C83" i="1"/>
  <c r="C82" i="1"/>
  <c r="B84" i="1"/>
  <c r="B121" i="1" s="1"/>
  <c r="J27" i="1"/>
  <c r="P34" i="1"/>
  <c r="P48" i="1" s="1"/>
  <c r="P61" i="1" s="1"/>
  <c r="P33" i="1"/>
  <c r="O34" i="1"/>
  <c r="O48" i="1" s="1"/>
  <c r="O61" i="1" s="1"/>
  <c r="O33" i="1"/>
  <c r="N34" i="1"/>
  <c r="N33" i="1"/>
  <c r="N47" i="1" s="1"/>
  <c r="N60" i="1" s="1"/>
  <c r="L34" i="1"/>
  <c r="L48" i="1" s="1"/>
  <c r="L61" i="1" s="1"/>
  <c r="L33" i="1"/>
  <c r="L47" i="1" s="1"/>
  <c r="K34" i="1"/>
  <c r="K48" i="1" s="1"/>
  <c r="K61" i="1" s="1"/>
  <c r="J34" i="1"/>
  <c r="J48" i="1" s="1"/>
  <c r="J33" i="1"/>
  <c r="J47" i="1" s="1"/>
  <c r="K33" i="1"/>
  <c r="P29" i="1"/>
  <c r="P43" i="1" s="1"/>
  <c r="P119" i="1" s="1"/>
  <c r="P28" i="1"/>
  <c r="P27" i="1"/>
  <c r="O29" i="1"/>
  <c r="O43" i="1" s="1"/>
  <c r="O56" i="1" s="1"/>
  <c r="O28" i="1"/>
  <c r="O27" i="1"/>
  <c r="N29" i="1"/>
  <c r="N43" i="1" s="1"/>
  <c r="N28" i="1"/>
  <c r="N42" i="1" s="1"/>
  <c r="N27" i="1"/>
  <c r="L29" i="1"/>
  <c r="L43" i="1" s="1"/>
  <c r="L119" i="1" s="1"/>
  <c r="L28" i="1"/>
  <c r="L42" i="1" s="1"/>
  <c r="L55" i="1" s="1"/>
  <c r="L27" i="1"/>
  <c r="K29" i="1"/>
  <c r="K43" i="1" s="1"/>
  <c r="K119" i="1" s="1"/>
  <c r="K28" i="1"/>
  <c r="K27" i="1"/>
  <c r="J29" i="1"/>
  <c r="J118" i="1" s="1"/>
  <c r="J28" i="1"/>
  <c r="J42" i="1" s="1"/>
  <c r="J55" i="1" s="1"/>
  <c r="G30" i="1"/>
  <c r="G44" i="1" s="1"/>
  <c r="G130" i="1" s="1"/>
  <c r="G493" i="2" s="1"/>
  <c r="G526" i="2" s="1"/>
  <c r="I8" i="1"/>
  <c r="B69" i="1"/>
  <c r="B68" i="1"/>
  <c r="P30" i="1"/>
  <c r="O30" i="1"/>
  <c r="O129" i="1" s="1"/>
  <c r="O492" i="2" s="1"/>
  <c r="N30" i="1"/>
  <c r="N129" i="1" s="1"/>
  <c r="N492" i="2" s="1"/>
  <c r="L30" i="1"/>
  <c r="L129" i="1" s="1"/>
  <c r="L492" i="2" s="1"/>
  <c r="K30" i="1"/>
  <c r="K129" i="1" s="1"/>
  <c r="K492" i="2" s="1"/>
  <c r="J30" i="1"/>
  <c r="J129" i="1" s="1"/>
  <c r="J492" i="2" s="1"/>
  <c r="H30" i="1"/>
  <c r="H129" i="1" s="1"/>
  <c r="H492" i="2" s="1"/>
  <c r="F30" i="1"/>
  <c r="F129" i="1" s="1"/>
  <c r="F492" i="2" s="1"/>
  <c r="D30" i="1"/>
  <c r="D129" i="1" s="1"/>
  <c r="D492" i="2" s="1"/>
  <c r="Q8" i="1"/>
  <c r="M8" i="1"/>
  <c r="Q7" i="1"/>
  <c r="Q6" i="1"/>
  <c r="P75" i="1"/>
  <c r="P74" i="1"/>
  <c r="O75" i="1"/>
  <c r="O74" i="1"/>
  <c r="N75" i="1"/>
  <c r="N74" i="1"/>
  <c r="L75" i="1"/>
  <c r="L74" i="1"/>
  <c r="K75" i="1"/>
  <c r="K74" i="1"/>
  <c r="J75" i="1"/>
  <c r="J74" i="1"/>
  <c r="H75" i="1"/>
  <c r="H74" i="1"/>
  <c r="G75" i="1"/>
  <c r="G74" i="1"/>
  <c r="F75" i="1"/>
  <c r="F74" i="1"/>
  <c r="D75" i="1"/>
  <c r="D74" i="1"/>
  <c r="C74" i="1"/>
  <c r="C75" i="1"/>
  <c r="B75" i="1"/>
  <c r="B74" i="1"/>
  <c r="D70" i="1"/>
  <c r="D122" i="1" s="1"/>
  <c r="D69" i="1"/>
  <c r="D68" i="1"/>
  <c r="P70" i="1"/>
  <c r="P122" i="1" s="1"/>
  <c r="P69" i="1"/>
  <c r="P68" i="1"/>
  <c r="O70" i="1"/>
  <c r="O122" i="1" s="1"/>
  <c r="O69" i="1"/>
  <c r="O68" i="1"/>
  <c r="N70" i="1"/>
  <c r="N122" i="1" s="1"/>
  <c r="N69" i="1"/>
  <c r="N68" i="1"/>
  <c r="L70" i="1"/>
  <c r="L69" i="1"/>
  <c r="L68" i="1"/>
  <c r="K70" i="1"/>
  <c r="K122" i="1" s="1"/>
  <c r="K69" i="1"/>
  <c r="K68" i="1"/>
  <c r="K100" i="1" s="1"/>
  <c r="J70" i="1"/>
  <c r="J122" i="1" s="1"/>
  <c r="J69" i="1"/>
  <c r="J68" i="1"/>
  <c r="H70" i="1"/>
  <c r="H69" i="1"/>
  <c r="H68" i="1"/>
  <c r="G70" i="1"/>
  <c r="G122" i="1" s="1"/>
  <c r="G69" i="1"/>
  <c r="G68" i="1"/>
  <c r="F70" i="1"/>
  <c r="F122" i="1" s="1"/>
  <c r="F69" i="1"/>
  <c r="F68" i="1"/>
  <c r="C70" i="1"/>
  <c r="C122" i="1" s="1"/>
  <c r="C69" i="1"/>
  <c r="C68" i="1"/>
  <c r="B70" i="1"/>
  <c r="B122" i="1" s="1"/>
  <c r="D119" i="1"/>
  <c r="C119" i="1"/>
  <c r="E118" i="1"/>
  <c r="D108" i="1"/>
  <c r="C108" i="1"/>
  <c r="D153" i="1"/>
  <c r="C153" i="1"/>
  <c r="B153" i="1"/>
  <c r="D97" i="1"/>
  <c r="C97" i="1"/>
  <c r="H34" i="1"/>
  <c r="H48" i="1" s="1"/>
  <c r="G34" i="1"/>
  <c r="H33" i="1"/>
  <c r="H47" i="1" s="1"/>
  <c r="G33" i="1"/>
  <c r="F34" i="1"/>
  <c r="F48" i="1" s="1"/>
  <c r="F33" i="1"/>
  <c r="H29" i="1"/>
  <c r="H118" i="1" s="1"/>
  <c r="H28" i="1"/>
  <c r="H27" i="1"/>
  <c r="G29" i="1"/>
  <c r="G118" i="1" s="1"/>
  <c r="G28" i="1"/>
  <c r="G27" i="1"/>
  <c r="F29" i="1"/>
  <c r="F118" i="1" s="1"/>
  <c r="F28" i="1"/>
  <c r="F27" i="1"/>
  <c r="M35" i="1"/>
  <c r="I10" i="1"/>
  <c r="I11" i="1"/>
  <c r="I7" i="1"/>
  <c r="I6" i="1"/>
  <c r="I5" i="1"/>
  <c r="Q5" i="1"/>
  <c r="M5" i="1"/>
  <c r="E5" i="1"/>
  <c r="E6" i="1"/>
  <c r="E7" i="1"/>
  <c r="E10" i="1"/>
  <c r="E11" i="1"/>
  <c r="E48" i="1"/>
  <c r="E47" i="1"/>
  <c r="E43" i="1"/>
  <c r="E119" i="1" s="1"/>
  <c r="E42" i="1"/>
  <c r="K20" i="2" l="1"/>
  <c r="H20" i="2"/>
  <c r="G20" i="2"/>
  <c r="C20" i="2"/>
  <c r="B20" i="2"/>
  <c r="M492" i="2"/>
  <c r="P44" i="1"/>
  <c r="P129" i="1"/>
  <c r="P492" i="2" s="1"/>
  <c r="D525" i="2"/>
  <c r="C525" i="2"/>
  <c r="P313" i="2"/>
  <c r="K325" i="2"/>
  <c r="F41" i="1"/>
  <c r="F54" i="1" s="1"/>
  <c r="C54" i="1"/>
  <c r="G129" i="1"/>
  <c r="G492" i="2" s="1"/>
  <c r="P41" i="1"/>
  <c r="P54" i="1" s="1"/>
  <c r="B41" i="1"/>
  <c r="E41" i="1" s="1"/>
  <c r="L41" i="1"/>
  <c r="L97" i="1" s="1"/>
  <c r="J41" i="1"/>
  <c r="J108" i="1" s="1"/>
  <c r="G41" i="1"/>
  <c r="G54" i="1" s="1"/>
  <c r="O41" i="1"/>
  <c r="O313" i="2"/>
  <c r="N313" i="2"/>
  <c r="Q336" i="2"/>
  <c r="K313" i="2"/>
  <c r="R380" i="2"/>
  <c r="N337" i="2"/>
  <c r="Q312" i="2"/>
  <c r="Q306" i="2"/>
  <c r="M264" i="2"/>
  <c r="M369" i="2"/>
  <c r="O337" i="2"/>
  <c r="L325" i="2"/>
  <c r="Q255" i="2"/>
  <c r="Q369" i="2"/>
  <c r="I306" i="2"/>
  <c r="I330" i="2"/>
  <c r="E249" i="2"/>
  <c r="E369" i="2"/>
  <c r="B27" i="2"/>
  <c r="B308" i="2" s="1"/>
  <c r="I255" i="2"/>
  <c r="I369" i="2"/>
  <c r="P337" i="2"/>
  <c r="C269" i="2"/>
  <c r="L313" i="2"/>
  <c r="B267" i="2"/>
  <c r="K337" i="2"/>
  <c r="H267" i="2"/>
  <c r="M318" i="2"/>
  <c r="P325" i="2"/>
  <c r="B269" i="2"/>
  <c r="E318" i="2"/>
  <c r="O270" i="2"/>
  <c r="O325" i="2"/>
  <c r="M330" i="2"/>
  <c r="B268" i="2"/>
  <c r="E306" i="2"/>
  <c r="K269" i="2"/>
  <c r="I318" i="2"/>
  <c r="G267" i="2"/>
  <c r="L270" i="2"/>
  <c r="E330" i="2"/>
  <c r="L337" i="2"/>
  <c r="M324" i="2"/>
  <c r="J267" i="2"/>
  <c r="K267" i="2"/>
  <c r="D268" i="2"/>
  <c r="P268" i="2"/>
  <c r="F269" i="2"/>
  <c r="N270" i="2"/>
  <c r="J268" i="2"/>
  <c r="N268" i="2"/>
  <c r="C268" i="2"/>
  <c r="M306" i="2"/>
  <c r="J270" i="2"/>
  <c r="J325" i="2"/>
  <c r="D267" i="2"/>
  <c r="H270" i="2"/>
  <c r="F267" i="2"/>
  <c r="G270" i="2"/>
  <c r="P270" i="2"/>
  <c r="G268" i="2"/>
  <c r="O269" i="2"/>
  <c r="F270" i="2"/>
  <c r="O267" i="2"/>
  <c r="F268" i="2"/>
  <c r="J269" i="2"/>
  <c r="M336" i="2"/>
  <c r="J337" i="2"/>
  <c r="N267" i="2"/>
  <c r="D269" i="2"/>
  <c r="K270" i="2"/>
  <c r="M260" i="2"/>
  <c r="Q318" i="2"/>
  <c r="H268" i="2"/>
  <c r="P269" i="2"/>
  <c r="Q257" i="2"/>
  <c r="Q330" i="2"/>
  <c r="M312" i="2"/>
  <c r="J313" i="2"/>
  <c r="E248" i="2"/>
  <c r="N269" i="2"/>
  <c r="D270" i="2"/>
  <c r="M259" i="2"/>
  <c r="M263" i="2"/>
  <c r="C267" i="2"/>
  <c r="O268" i="2"/>
  <c r="P17" i="2"/>
  <c r="P22" i="2" s="1"/>
  <c r="L268" i="2"/>
  <c r="H269" i="2"/>
  <c r="M250" i="2"/>
  <c r="C270" i="2"/>
  <c r="L269" i="2"/>
  <c r="L267" i="2"/>
  <c r="B270" i="2"/>
  <c r="K268" i="2"/>
  <c r="G269" i="2"/>
  <c r="Q324" i="2"/>
  <c r="N325" i="2"/>
  <c r="M252" i="2"/>
  <c r="E252" i="2"/>
  <c r="M253" i="2"/>
  <c r="E253" i="2"/>
  <c r="E254" i="2"/>
  <c r="M254" i="2"/>
  <c r="I258" i="2"/>
  <c r="Q258" i="2"/>
  <c r="M265" i="2"/>
  <c r="E265" i="2"/>
  <c r="Q262" i="2"/>
  <c r="I262" i="2"/>
  <c r="Q296" i="2"/>
  <c r="I250" i="2"/>
  <c r="Q250" i="2"/>
  <c r="E257" i="2"/>
  <c r="M257" i="2"/>
  <c r="I259" i="2"/>
  <c r="Q259" i="2"/>
  <c r="I260" i="2"/>
  <c r="Q260" i="2"/>
  <c r="Q263" i="2"/>
  <c r="I263" i="2"/>
  <c r="Q252" i="2"/>
  <c r="M255" i="2"/>
  <c r="E255" i="2"/>
  <c r="Q264" i="2"/>
  <c r="I264" i="2"/>
  <c r="I252" i="2"/>
  <c r="I253" i="2"/>
  <c r="Q253" i="2"/>
  <c r="I254" i="2"/>
  <c r="Q254" i="2"/>
  <c r="M258" i="2"/>
  <c r="E258" i="2"/>
  <c r="Q265" i="2"/>
  <c r="I265" i="2"/>
  <c r="M262" i="2"/>
  <c r="E262" i="2"/>
  <c r="E250" i="2"/>
  <c r="I257" i="2"/>
  <c r="E259" i="2"/>
  <c r="E260" i="2"/>
  <c r="E263" i="2"/>
  <c r="E264" i="2"/>
  <c r="I248" i="2"/>
  <c r="I249" i="2"/>
  <c r="M249" i="2"/>
  <c r="M248" i="2"/>
  <c r="Q248" i="2"/>
  <c r="Q249" i="2"/>
  <c r="M247" i="2"/>
  <c r="M293" i="2"/>
  <c r="J300" i="2"/>
  <c r="J301" i="2" s="1"/>
  <c r="Q247" i="2"/>
  <c r="E293" i="2"/>
  <c r="M298" i="2"/>
  <c r="R288" i="2"/>
  <c r="M299" i="2"/>
  <c r="I247" i="2"/>
  <c r="I293" i="2"/>
  <c r="Q293" i="2"/>
  <c r="M296" i="2"/>
  <c r="P300" i="2"/>
  <c r="P301" i="2" s="1"/>
  <c r="O300" i="2"/>
  <c r="O301" i="2" s="1"/>
  <c r="N300" i="2"/>
  <c r="N301" i="2" s="1"/>
  <c r="P180" i="2"/>
  <c r="P181" i="2" s="1"/>
  <c r="K300" i="2"/>
  <c r="K301" i="2" s="1"/>
  <c r="Q298" i="2"/>
  <c r="L300" i="2"/>
  <c r="L301" i="2" s="1"/>
  <c r="Q299" i="2"/>
  <c r="E247" i="2"/>
  <c r="M297" i="2"/>
  <c r="Q297" i="2"/>
  <c r="O194" i="2"/>
  <c r="O195" i="2" s="1"/>
  <c r="K226" i="2"/>
  <c r="K180" i="2"/>
  <c r="K181" i="2" s="1"/>
  <c r="O226" i="2"/>
  <c r="O234" i="2"/>
  <c r="O238" i="2" s="1"/>
  <c r="N226" i="2"/>
  <c r="M222" i="2"/>
  <c r="M193" i="2"/>
  <c r="M237" i="2" s="1"/>
  <c r="C197" i="2"/>
  <c r="K194" i="2"/>
  <c r="K195" i="2" s="1"/>
  <c r="M219" i="2"/>
  <c r="Q176" i="2"/>
  <c r="J194" i="2"/>
  <c r="J195" i="2" s="1"/>
  <c r="M216" i="2"/>
  <c r="Q216" i="2"/>
  <c r="J220" i="2"/>
  <c r="P220" i="2"/>
  <c r="O220" i="2"/>
  <c r="L220" i="2"/>
  <c r="M218" i="2"/>
  <c r="Q150" i="2"/>
  <c r="N218" i="2"/>
  <c r="Q219" i="2"/>
  <c r="P226" i="2"/>
  <c r="Q223" i="2"/>
  <c r="M163" i="2"/>
  <c r="J223" i="2"/>
  <c r="M224" i="2"/>
  <c r="Q224" i="2"/>
  <c r="Q225" i="2"/>
  <c r="M165" i="2"/>
  <c r="J225" i="2"/>
  <c r="M225" i="2" s="1"/>
  <c r="R206" i="2"/>
  <c r="P197" i="2"/>
  <c r="O197" i="2"/>
  <c r="Q175" i="2"/>
  <c r="L197" i="2"/>
  <c r="K197" i="2"/>
  <c r="J197" i="2"/>
  <c r="H197" i="2"/>
  <c r="G197" i="2"/>
  <c r="I175" i="2"/>
  <c r="E175" i="2"/>
  <c r="M176" i="2"/>
  <c r="O232" i="2"/>
  <c r="L180" i="2"/>
  <c r="L181" i="2" s="1"/>
  <c r="J180" i="2"/>
  <c r="J181" i="2" s="1"/>
  <c r="Q177" i="2"/>
  <c r="Q178" i="2"/>
  <c r="M178" i="2"/>
  <c r="Q179" i="2"/>
  <c r="M179" i="2"/>
  <c r="Q189" i="2"/>
  <c r="M189" i="2"/>
  <c r="I189" i="2"/>
  <c r="E189" i="2"/>
  <c r="Q190" i="2"/>
  <c r="Q234" i="2" s="1"/>
  <c r="L238" i="2"/>
  <c r="Q191" i="2"/>
  <c r="Q235" i="2" s="1"/>
  <c r="Q192" i="2"/>
  <c r="Q236" i="2" s="1"/>
  <c r="M192" i="2"/>
  <c r="M236" i="2" s="1"/>
  <c r="Q193" i="2"/>
  <c r="Q237" i="2" s="1"/>
  <c r="P238" i="2"/>
  <c r="P194" i="2"/>
  <c r="P195" i="2" s="1"/>
  <c r="F197" i="2"/>
  <c r="P228" i="2"/>
  <c r="P232" i="2" s="1"/>
  <c r="D197" i="2"/>
  <c r="O180" i="2"/>
  <c r="N194" i="2"/>
  <c r="N197" i="2"/>
  <c r="N180" i="2"/>
  <c r="L194" i="2"/>
  <c r="M175" i="2"/>
  <c r="M177" i="2"/>
  <c r="N230" i="2"/>
  <c r="Q230" i="2" s="1"/>
  <c r="K234" i="2"/>
  <c r="K238" i="2" s="1"/>
  <c r="J237" i="2"/>
  <c r="J238" i="2" s="1"/>
  <c r="M190" i="2"/>
  <c r="M234" i="2" s="1"/>
  <c r="M191" i="2"/>
  <c r="M235" i="2" s="1"/>
  <c r="N236" i="2"/>
  <c r="N238" i="2" s="1"/>
  <c r="K228" i="2"/>
  <c r="J228" i="2"/>
  <c r="J229" i="2"/>
  <c r="M229" i="2" s="1"/>
  <c r="M231" i="2"/>
  <c r="L232" i="2"/>
  <c r="M230" i="2"/>
  <c r="N229" i="2"/>
  <c r="Q229" i="2" s="1"/>
  <c r="N231" i="2"/>
  <c r="Q231" i="2" s="1"/>
  <c r="Q222" i="2"/>
  <c r="K220" i="2"/>
  <c r="Q217" i="2"/>
  <c r="L226" i="2"/>
  <c r="M217" i="2"/>
  <c r="Q149" i="2"/>
  <c r="L166" i="2"/>
  <c r="Q163" i="2"/>
  <c r="P152" i="2"/>
  <c r="M164" i="2"/>
  <c r="O152" i="2"/>
  <c r="O153" i="2" s="1"/>
  <c r="O166" i="2"/>
  <c r="Q151" i="2"/>
  <c r="Q165" i="2"/>
  <c r="K152" i="2"/>
  <c r="B197" i="2"/>
  <c r="M148" i="2"/>
  <c r="Q162" i="2"/>
  <c r="Q147" i="2"/>
  <c r="M149" i="2"/>
  <c r="M151" i="2"/>
  <c r="K166" i="2"/>
  <c r="K167" i="2" s="1"/>
  <c r="Q148" i="2"/>
  <c r="J152" i="2"/>
  <c r="J166" i="2"/>
  <c r="J167" i="2" s="1"/>
  <c r="E147" i="2"/>
  <c r="I147" i="2"/>
  <c r="Q161" i="2"/>
  <c r="M147" i="2"/>
  <c r="M161" i="2"/>
  <c r="E161" i="2"/>
  <c r="Q164" i="2"/>
  <c r="L152" i="2"/>
  <c r="I161" i="2"/>
  <c r="P166" i="2"/>
  <c r="N166" i="2"/>
  <c r="M150" i="2"/>
  <c r="M162" i="2"/>
  <c r="N152" i="2"/>
  <c r="P68" i="2"/>
  <c r="R138" i="2"/>
  <c r="P73" i="2"/>
  <c r="P74" i="2" s="1"/>
  <c r="N68" i="2"/>
  <c r="K80" i="2"/>
  <c r="L86" i="2"/>
  <c r="P84" i="2"/>
  <c r="Q71" i="2"/>
  <c r="M72" i="2"/>
  <c r="M79" i="2"/>
  <c r="L68" i="2"/>
  <c r="O83" i="2"/>
  <c r="Q83" i="2" s="1"/>
  <c r="M78" i="2"/>
  <c r="M83" i="2"/>
  <c r="M84" i="2"/>
  <c r="O84" i="2"/>
  <c r="M67" i="2"/>
  <c r="Q66" i="2"/>
  <c r="M73" i="2"/>
  <c r="N77" i="2"/>
  <c r="M44" i="2"/>
  <c r="N79" i="2"/>
  <c r="Q70" i="2"/>
  <c r="O74" i="2"/>
  <c r="M82" i="2"/>
  <c r="J86" i="2"/>
  <c r="M76" i="2"/>
  <c r="L80" i="2"/>
  <c r="P76" i="2"/>
  <c r="M77" i="2"/>
  <c r="K74" i="2"/>
  <c r="J80" i="2"/>
  <c r="J71" i="2"/>
  <c r="M71" i="2" s="1"/>
  <c r="N74" i="2"/>
  <c r="P77" i="2"/>
  <c r="Q72" i="2"/>
  <c r="K86" i="2"/>
  <c r="M70" i="2"/>
  <c r="O79" i="2"/>
  <c r="O80" i="2" s="1"/>
  <c r="O85" i="2"/>
  <c r="M85" i="2"/>
  <c r="O82" i="2"/>
  <c r="P85" i="2"/>
  <c r="P79" i="2"/>
  <c r="N78" i="2"/>
  <c r="Q67" i="2"/>
  <c r="M66" i="2"/>
  <c r="N82" i="2"/>
  <c r="N86" i="2" s="1"/>
  <c r="J41" i="2"/>
  <c r="H97" i="2" s="1"/>
  <c r="J68" i="2"/>
  <c r="O68" i="2"/>
  <c r="K68" i="2"/>
  <c r="L74" i="2"/>
  <c r="K76" i="1"/>
  <c r="K155" i="1" s="1"/>
  <c r="O118" i="1"/>
  <c r="E120" i="1"/>
  <c r="M71" i="1"/>
  <c r="N118" i="1"/>
  <c r="D98" i="1"/>
  <c r="D444" i="2" s="1"/>
  <c r="E82" i="1"/>
  <c r="J111" i="1"/>
  <c r="N110" i="1"/>
  <c r="G90" i="1"/>
  <c r="G154" i="1" s="1"/>
  <c r="D107" i="1"/>
  <c r="D100" i="1"/>
  <c r="O35" i="1"/>
  <c r="O151" i="1" s="1"/>
  <c r="F76" i="1"/>
  <c r="F155" i="1" s="1"/>
  <c r="M74" i="1"/>
  <c r="P76" i="1"/>
  <c r="P155" i="1" s="1"/>
  <c r="I68" i="1"/>
  <c r="M27" i="1"/>
  <c r="C98" i="1"/>
  <c r="C444" i="2" s="1"/>
  <c r="L107" i="1"/>
  <c r="L458" i="2" s="1"/>
  <c r="L118" i="1"/>
  <c r="L120" i="1" s="1"/>
  <c r="I71" i="1"/>
  <c r="Q83" i="1"/>
  <c r="C90" i="1"/>
  <c r="C154" i="1" s="1"/>
  <c r="C156" i="1" s="1"/>
  <c r="Q88" i="1"/>
  <c r="F44" i="1"/>
  <c r="F57" i="1" s="1"/>
  <c r="P107" i="1"/>
  <c r="P458" i="2" s="1"/>
  <c r="L100" i="1"/>
  <c r="E89" i="1"/>
  <c r="C118" i="1"/>
  <c r="C120" i="1" s="1"/>
  <c r="C123" i="1" s="1"/>
  <c r="F72" i="1"/>
  <c r="F144" i="1" s="1"/>
  <c r="P72" i="1"/>
  <c r="P144" i="1" s="1"/>
  <c r="N100" i="1"/>
  <c r="C107" i="1"/>
  <c r="G72" i="1"/>
  <c r="G144" i="1" s="1"/>
  <c r="O72" i="1"/>
  <c r="O144" i="1" s="1"/>
  <c r="P35" i="1"/>
  <c r="P151" i="1" s="1"/>
  <c r="D110" i="1"/>
  <c r="F133" i="1"/>
  <c r="I133" i="1" s="1"/>
  <c r="F107" i="1"/>
  <c r="F458" i="2" s="1"/>
  <c r="C99" i="1"/>
  <c r="Q84" i="1"/>
  <c r="Q121" i="1" s="1"/>
  <c r="G100" i="1"/>
  <c r="B120" i="1"/>
  <c r="B123" i="1" s="1"/>
  <c r="E108" i="1"/>
  <c r="J76" i="1"/>
  <c r="J155" i="1" s="1"/>
  <c r="Q34" i="1"/>
  <c r="Q35" i="1" s="1"/>
  <c r="Q151" i="1" s="1"/>
  <c r="L44" i="1"/>
  <c r="L130" i="1" s="1"/>
  <c r="O110" i="1"/>
  <c r="Q133" i="1"/>
  <c r="D120" i="1"/>
  <c r="D123" i="1" s="1"/>
  <c r="D62" i="1"/>
  <c r="P42" i="1"/>
  <c r="P55" i="1" s="1"/>
  <c r="H44" i="1"/>
  <c r="H57" i="1" s="1"/>
  <c r="N35" i="1"/>
  <c r="N151" i="1" s="1"/>
  <c r="I30" i="1"/>
  <c r="I129" i="1" s="1"/>
  <c r="G57" i="1"/>
  <c r="I70" i="1"/>
  <c r="I122" i="1" s="1"/>
  <c r="M28" i="1"/>
  <c r="H110" i="1"/>
  <c r="L31" i="1"/>
  <c r="M29" i="1"/>
  <c r="M118" i="1" s="1"/>
  <c r="K72" i="1"/>
  <c r="Q69" i="1"/>
  <c r="D31" i="1"/>
  <c r="R6" i="1"/>
  <c r="E70" i="1"/>
  <c r="E122" i="1" s="1"/>
  <c r="N121" i="1"/>
  <c r="Q70" i="1"/>
  <c r="Q122" i="1" s="1"/>
  <c r="O111" i="1"/>
  <c r="O42" i="1"/>
  <c r="O55" i="1" s="1"/>
  <c r="C31" i="1"/>
  <c r="L99" i="1"/>
  <c r="L86" i="1"/>
  <c r="L143" i="1" s="1"/>
  <c r="Q30" i="1"/>
  <c r="Q129" i="1" s="1"/>
  <c r="I28" i="1"/>
  <c r="L111" i="1"/>
  <c r="L76" i="1"/>
  <c r="L155" i="1" s="1"/>
  <c r="Q132" i="1"/>
  <c r="N90" i="1"/>
  <c r="N154" i="1" s="1"/>
  <c r="L72" i="1"/>
  <c r="L144" i="1" s="1"/>
  <c r="H111" i="1"/>
  <c r="D54" i="1"/>
  <c r="H31" i="1"/>
  <c r="H140" i="1" s="1"/>
  <c r="I69" i="1"/>
  <c r="M70" i="1"/>
  <c r="M122" i="1" s="1"/>
  <c r="C111" i="1"/>
  <c r="Q75" i="1"/>
  <c r="E69" i="1"/>
  <c r="D56" i="1"/>
  <c r="Q71" i="1"/>
  <c r="K118" i="1"/>
  <c r="K120" i="1" s="1"/>
  <c r="K123" i="1" s="1"/>
  <c r="G111" i="1"/>
  <c r="N72" i="1"/>
  <c r="N144" i="1" s="1"/>
  <c r="D72" i="1"/>
  <c r="D144" i="1" s="1"/>
  <c r="D76" i="1"/>
  <c r="D155" i="1" s="1"/>
  <c r="O76" i="1"/>
  <c r="O155" i="1" s="1"/>
  <c r="P31" i="1"/>
  <c r="P140" i="1" s="1"/>
  <c r="N56" i="1"/>
  <c r="Q43" i="1"/>
  <c r="Q119" i="1" s="1"/>
  <c r="N119" i="1"/>
  <c r="J60" i="1"/>
  <c r="J49" i="1"/>
  <c r="J61" i="1"/>
  <c r="M48" i="1"/>
  <c r="M61" i="1" s="1"/>
  <c r="P57" i="1"/>
  <c r="P130" i="1"/>
  <c r="P493" i="2" s="1"/>
  <c r="P526" i="2" s="1"/>
  <c r="N55" i="1"/>
  <c r="I132" i="1"/>
  <c r="L108" i="1"/>
  <c r="L49" i="1"/>
  <c r="L152" i="1" s="1"/>
  <c r="L153" i="1" s="1"/>
  <c r="L156" i="1" s="1"/>
  <c r="L60" i="1"/>
  <c r="L62" i="1" s="1"/>
  <c r="N48" i="1"/>
  <c r="Q48" i="1" s="1"/>
  <c r="Q28" i="1"/>
  <c r="C86" i="1"/>
  <c r="C143" i="1" s="1"/>
  <c r="C100" i="1"/>
  <c r="D111" i="1"/>
  <c r="J44" i="1"/>
  <c r="K44" i="1"/>
  <c r="K130" i="1" s="1"/>
  <c r="K493" i="2" s="1"/>
  <c r="N41" i="1"/>
  <c r="Q41" i="1" s="1"/>
  <c r="O47" i="1"/>
  <c r="J31" i="1"/>
  <c r="Q29" i="1"/>
  <c r="O119" i="1"/>
  <c r="O120" i="1" s="1"/>
  <c r="O123" i="1" s="1"/>
  <c r="H99" i="1"/>
  <c r="C60" i="1"/>
  <c r="C62" i="1" s="1"/>
  <c r="E68" i="1"/>
  <c r="G35" i="1"/>
  <c r="G151" i="1" s="1"/>
  <c r="K56" i="1"/>
  <c r="P56" i="1"/>
  <c r="O99" i="1"/>
  <c r="P118" i="1"/>
  <c r="P120" i="1" s="1"/>
  <c r="P123" i="1" s="1"/>
  <c r="M30" i="1"/>
  <c r="M129" i="1" s="1"/>
  <c r="K42" i="1"/>
  <c r="K55" i="1" s="1"/>
  <c r="K47" i="1"/>
  <c r="K49" i="1" s="1"/>
  <c r="P47" i="1"/>
  <c r="J43" i="1"/>
  <c r="J56" i="1" s="1"/>
  <c r="I85" i="1"/>
  <c r="E55" i="1"/>
  <c r="L56" i="1"/>
  <c r="E88" i="1"/>
  <c r="L90" i="1"/>
  <c r="L154" i="1" s="1"/>
  <c r="O107" i="1"/>
  <c r="O458" i="2" s="1"/>
  <c r="C44" i="1"/>
  <c r="K41" i="1"/>
  <c r="K54" i="1" s="1"/>
  <c r="N44" i="1"/>
  <c r="J133" i="1"/>
  <c r="M133" i="1" s="1"/>
  <c r="O31" i="1"/>
  <c r="G31" i="1"/>
  <c r="G140" i="1" s="1"/>
  <c r="Q27" i="1"/>
  <c r="K31" i="1"/>
  <c r="N107" i="1"/>
  <c r="N458" i="2" s="1"/>
  <c r="G99" i="1"/>
  <c r="B56" i="1"/>
  <c r="E49" i="1"/>
  <c r="E152" i="1" s="1"/>
  <c r="E153" i="1" s="1"/>
  <c r="C72" i="1"/>
  <c r="C144" i="1" s="1"/>
  <c r="D44" i="1"/>
  <c r="O44" i="1"/>
  <c r="G47" i="1"/>
  <c r="P99" i="1"/>
  <c r="N31" i="1"/>
  <c r="N140" i="1" s="1"/>
  <c r="F31" i="1"/>
  <c r="F140" i="1" s="1"/>
  <c r="O100" i="1"/>
  <c r="J100" i="1"/>
  <c r="K107" i="1"/>
  <c r="K458" i="2" s="1"/>
  <c r="L121" i="1"/>
  <c r="G48" i="1"/>
  <c r="G61" i="1" s="1"/>
  <c r="L110" i="1"/>
  <c r="M85" i="1"/>
  <c r="K132" i="1"/>
  <c r="M132" i="1" s="1"/>
  <c r="M49" i="2"/>
  <c r="K41" i="2"/>
  <c r="M15" i="2"/>
  <c r="M57" i="2"/>
  <c r="P9" i="2"/>
  <c r="P478" i="2" s="1"/>
  <c r="P480" i="2" s="1"/>
  <c r="O24" i="2"/>
  <c r="M45" i="2"/>
  <c r="M12" i="2"/>
  <c r="Q58" i="2"/>
  <c r="M39" i="2"/>
  <c r="Q51" i="2"/>
  <c r="M52" i="2"/>
  <c r="N24" i="2"/>
  <c r="H24" i="2"/>
  <c r="I19" i="2"/>
  <c r="I479" i="2" s="1"/>
  <c r="O25" i="2"/>
  <c r="P10" i="2"/>
  <c r="P495" i="2" s="1"/>
  <c r="G10" i="2"/>
  <c r="I20" i="2"/>
  <c r="F25" i="2"/>
  <c r="E17" i="2"/>
  <c r="E22" i="2" s="1"/>
  <c r="K25" i="2"/>
  <c r="M46" i="2"/>
  <c r="E12" i="2"/>
  <c r="M56" i="2"/>
  <c r="E13" i="2"/>
  <c r="M50" i="2"/>
  <c r="O59" i="2"/>
  <c r="Q12" i="2"/>
  <c r="G24" i="2"/>
  <c r="I12" i="2"/>
  <c r="K47" i="2"/>
  <c r="J102" i="2" s="1"/>
  <c r="M13" i="2"/>
  <c r="N25" i="2"/>
  <c r="O10" i="2"/>
  <c r="O495" i="2" s="1"/>
  <c r="H29" i="2"/>
  <c r="H481" i="2" s="1"/>
  <c r="Q45" i="2"/>
  <c r="O53" i="2"/>
  <c r="B29" i="2"/>
  <c r="F23" i="2"/>
  <c r="H18" i="2"/>
  <c r="I18" i="2" s="1"/>
  <c r="I23" i="2" s="1"/>
  <c r="K53" i="2"/>
  <c r="L47" i="2"/>
  <c r="K102" i="2" s="1"/>
  <c r="L53" i="2"/>
  <c r="H22" i="2"/>
  <c r="N53" i="2"/>
  <c r="P59" i="2"/>
  <c r="P24" i="2"/>
  <c r="Q18" i="2"/>
  <c r="Q23" i="2" s="1"/>
  <c r="E14" i="2"/>
  <c r="P47" i="2"/>
  <c r="P53" i="2"/>
  <c r="O107" i="2" s="1"/>
  <c r="Q52" i="2"/>
  <c r="K7" i="2"/>
  <c r="J22" i="2"/>
  <c r="M17" i="2"/>
  <c r="M22" i="2" s="1"/>
  <c r="C10" i="2"/>
  <c r="C495" i="2" s="1"/>
  <c r="N7" i="2"/>
  <c r="L22" i="2"/>
  <c r="F8" i="2"/>
  <c r="D23" i="2"/>
  <c r="K10" i="2"/>
  <c r="J25" i="2"/>
  <c r="M43" i="2"/>
  <c r="J47" i="2"/>
  <c r="M20" i="2"/>
  <c r="Q15" i="2"/>
  <c r="M14" i="2"/>
  <c r="C23" i="2"/>
  <c r="D8" i="2"/>
  <c r="D28" i="2" s="1"/>
  <c r="C8" i="2"/>
  <c r="C28" i="2" s="1"/>
  <c r="E18" i="2"/>
  <c r="B23" i="2"/>
  <c r="F17" i="2"/>
  <c r="P7" i="2"/>
  <c r="N47" i="2"/>
  <c r="Q43" i="2"/>
  <c r="M51" i="2"/>
  <c r="G28" i="2"/>
  <c r="N23" i="2"/>
  <c r="D7" i="2"/>
  <c r="D27" i="2" s="1"/>
  <c r="C22" i="2"/>
  <c r="Q13" i="2"/>
  <c r="J9" i="2"/>
  <c r="J478" i="2" s="1"/>
  <c r="J480" i="2" s="1"/>
  <c r="G29" i="2"/>
  <c r="G481" i="2" s="1"/>
  <c r="K8" i="2"/>
  <c r="M18" i="2"/>
  <c r="M23" i="2" s="1"/>
  <c r="J23" i="2"/>
  <c r="B28" i="2"/>
  <c r="C24" i="2"/>
  <c r="D9" i="2"/>
  <c r="D478" i="2" s="1"/>
  <c r="D480" i="2" s="1"/>
  <c r="Q14" i="2"/>
  <c r="H10" i="2"/>
  <c r="H8" i="2"/>
  <c r="H25" i="2"/>
  <c r="G17" i="2"/>
  <c r="K9" i="2"/>
  <c r="K478" i="2" s="1"/>
  <c r="K480" i="2" s="1"/>
  <c r="J24" i="2"/>
  <c r="P8" i="2"/>
  <c r="O41" i="2"/>
  <c r="N97" i="2" s="1"/>
  <c r="N8" i="2"/>
  <c r="L23" i="2"/>
  <c r="D22" i="2"/>
  <c r="F7" i="2"/>
  <c r="I13" i="2"/>
  <c r="P41" i="2"/>
  <c r="L8" i="2"/>
  <c r="K23" i="2"/>
  <c r="L59" i="2"/>
  <c r="N22" i="2"/>
  <c r="C7" i="2"/>
  <c r="B22" i="2"/>
  <c r="E19" i="2"/>
  <c r="E479" i="2" s="1"/>
  <c r="I14" i="2"/>
  <c r="L41" i="2"/>
  <c r="K97" i="2" s="1"/>
  <c r="Q44" i="2"/>
  <c r="N41" i="2"/>
  <c r="Q40" i="2"/>
  <c r="C25" i="2"/>
  <c r="F24" i="2"/>
  <c r="C9" i="2"/>
  <c r="C478" i="2" s="1"/>
  <c r="C480" i="2" s="1"/>
  <c r="E480" i="2" s="1"/>
  <c r="B24" i="2"/>
  <c r="L7" i="2"/>
  <c r="K22" i="2"/>
  <c r="I15" i="2"/>
  <c r="O47" i="2"/>
  <c r="J59" i="2"/>
  <c r="Q57" i="2"/>
  <c r="Q56" i="2"/>
  <c r="M55" i="2"/>
  <c r="Q55" i="2"/>
  <c r="Q39" i="2"/>
  <c r="Q50" i="2"/>
  <c r="M40" i="2"/>
  <c r="N59" i="2"/>
  <c r="J53" i="2"/>
  <c r="K59" i="2"/>
  <c r="M58" i="2"/>
  <c r="Q46" i="2"/>
  <c r="Q49" i="2"/>
  <c r="B62" i="1"/>
  <c r="P110" i="1"/>
  <c r="P90" i="1"/>
  <c r="P154" i="1" s="1"/>
  <c r="O90" i="1"/>
  <c r="O154" i="1" s="1"/>
  <c r="Q89" i="1"/>
  <c r="M88" i="1"/>
  <c r="M89" i="1"/>
  <c r="K99" i="1"/>
  <c r="K90" i="1"/>
  <c r="K154" i="1" s="1"/>
  <c r="I88" i="1"/>
  <c r="I89" i="1"/>
  <c r="F90" i="1"/>
  <c r="F154" i="1" s="1"/>
  <c r="Q85" i="1"/>
  <c r="D90" i="1"/>
  <c r="D154" i="1" s="1"/>
  <c r="D156" i="1" s="1"/>
  <c r="D99" i="1"/>
  <c r="K86" i="1"/>
  <c r="K143" i="1" s="1"/>
  <c r="P86" i="1"/>
  <c r="P143" i="1" s="1"/>
  <c r="O86" i="1"/>
  <c r="O143" i="1" s="1"/>
  <c r="N86" i="1"/>
  <c r="N143" i="1" s="1"/>
  <c r="M83" i="1"/>
  <c r="H86" i="1"/>
  <c r="H143" i="1" s="1"/>
  <c r="I83" i="1"/>
  <c r="G86" i="1"/>
  <c r="G143" i="1" s="1"/>
  <c r="Q82" i="1"/>
  <c r="N99" i="1"/>
  <c r="I84" i="1"/>
  <c r="I121" i="1" s="1"/>
  <c r="G121" i="1"/>
  <c r="K110" i="1"/>
  <c r="I82" i="1"/>
  <c r="G110" i="1"/>
  <c r="F121" i="1"/>
  <c r="M84" i="1"/>
  <c r="M121" i="1" s="1"/>
  <c r="D86" i="1"/>
  <c r="D143" i="1" s="1"/>
  <c r="M82" i="1"/>
  <c r="J86" i="1"/>
  <c r="J143" i="1" s="1"/>
  <c r="F86" i="1"/>
  <c r="F143" i="1" s="1"/>
  <c r="F99" i="1"/>
  <c r="F110" i="1"/>
  <c r="C110" i="1"/>
  <c r="E84" i="1"/>
  <c r="E121" i="1" s="1"/>
  <c r="E83" i="1"/>
  <c r="Q68" i="1"/>
  <c r="H72" i="1"/>
  <c r="H144" i="1" s="1"/>
  <c r="H76" i="1"/>
  <c r="H155" i="1" s="1"/>
  <c r="B54" i="1"/>
  <c r="R10" i="1"/>
  <c r="J72" i="1"/>
  <c r="J144" i="1" s="1"/>
  <c r="E97" i="1"/>
  <c r="P100" i="1"/>
  <c r="H107" i="1"/>
  <c r="H458" i="2" s="1"/>
  <c r="J107" i="1"/>
  <c r="J458" i="2" s="1"/>
  <c r="H122" i="1"/>
  <c r="M75" i="1"/>
  <c r="R11" i="1"/>
  <c r="R5" i="1"/>
  <c r="M69" i="1"/>
  <c r="H41" i="1"/>
  <c r="F111" i="1"/>
  <c r="P111" i="1"/>
  <c r="M68" i="1"/>
  <c r="E74" i="1"/>
  <c r="I29" i="1"/>
  <c r="I118" i="1" s="1"/>
  <c r="F35" i="1"/>
  <c r="F151" i="1" s="1"/>
  <c r="H42" i="1"/>
  <c r="H55" i="1" s="1"/>
  <c r="F100" i="1"/>
  <c r="K111" i="1"/>
  <c r="H90" i="1"/>
  <c r="H154" i="1" s="1"/>
  <c r="J99" i="1"/>
  <c r="H100" i="1"/>
  <c r="G107" i="1"/>
  <c r="G458" i="2" s="1"/>
  <c r="J110" i="1"/>
  <c r="L122" i="1"/>
  <c r="E61" i="1"/>
  <c r="R7" i="1"/>
  <c r="E75" i="1"/>
  <c r="I75" i="1"/>
  <c r="G76" i="1"/>
  <c r="G155" i="1" s="1"/>
  <c r="I74" i="1"/>
  <c r="B76" i="1"/>
  <c r="B155" i="1" s="1"/>
  <c r="Q74" i="1"/>
  <c r="C76" i="1"/>
  <c r="C155" i="1" s="1"/>
  <c r="N111" i="1"/>
  <c r="N76" i="1"/>
  <c r="N155" i="1" s="1"/>
  <c r="O54" i="1"/>
  <c r="H60" i="1"/>
  <c r="F47" i="1"/>
  <c r="F61" i="1"/>
  <c r="H35" i="1"/>
  <c r="H151" i="1" s="1"/>
  <c r="I27" i="1"/>
  <c r="I33" i="1"/>
  <c r="G42" i="1"/>
  <c r="G55" i="1" s="1"/>
  <c r="I34" i="1"/>
  <c r="B90" i="1"/>
  <c r="B154" i="1" s="1"/>
  <c r="B156" i="1" s="1"/>
  <c r="H43" i="1"/>
  <c r="H56" i="1" s="1"/>
  <c r="F42" i="1"/>
  <c r="F43" i="1"/>
  <c r="F119" i="1" s="1"/>
  <c r="F120" i="1" s="1"/>
  <c r="G43" i="1"/>
  <c r="J90" i="1"/>
  <c r="J154" i="1" s="1"/>
  <c r="K496" i="2" l="1"/>
  <c r="K529" i="2" s="1"/>
  <c r="L10" i="2"/>
  <c r="L495" i="2" s="1"/>
  <c r="H496" i="2"/>
  <c r="J10" i="2"/>
  <c r="J495" i="2" s="1"/>
  <c r="G496" i="2"/>
  <c r="G25" i="2"/>
  <c r="C496" i="2"/>
  <c r="D10" i="2"/>
  <c r="D495" i="2" s="1"/>
  <c r="B496" i="2"/>
  <c r="B25" i="2"/>
  <c r="K526" i="2"/>
  <c r="K494" i="2"/>
  <c r="L131" i="1"/>
  <c r="L134" i="1" s="1"/>
  <c r="L493" i="2"/>
  <c r="P494" i="2"/>
  <c r="Q492" i="2"/>
  <c r="G494" i="2"/>
  <c r="I492" i="2"/>
  <c r="M25" i="2"/>
  <c r="M496" i="2"/>
  <c r="M10" i="2"/>
  <c r="M495" i="2" s="1"/>
  <c r="K495" i="2"/>
  <c r="H30" i="2"/>
  <c r="H495" i="2"/>
  <c r="I25" i="2"/>
  <c r="I496" i="2"/>
  <c r="G30" i="2"/>
  <c r="G495" i="2"/>
  <c r="I24" i="2"/>
  <c r="C29" i="2"/>
  <c r="C481" i="2" s="1"/>
  <c r="G460" i="2"/>
  <c r="G525" i="2"/>
  <c r="G527" i="2" s="1"/>
  <c r="G509" i="2"/>
  <c r="G511" i="2" s="1"/>
  <c r="J460" i="2"/>
  <c r="J525" i="2"/>
  <c r="J509" i="2"/>
  <c r="J511" i="2" s="1"/>
  <c r="H460" i="2"/>
  <c r="H525" i="2"/>
  <c r="H509" i="2"/>
  <c r="H511" i="2" s="1"/>
  <c r="H448" i="2"/>
  <c r="G448" i="2"/>
  <c r="K460" i="2"/>
  <c r="K525" i="2"/>
  <c r="K527" i="2" s="1"/>
  <c r="K509" i="2"/>
  <c r="K511" i="2" s="1"/>
  <c r="N460" i="2"/>
  <c r="N525" i="2"/>
  <c r="N509" i="2"/>
  <c r="N511" i="2" s="1"/>
  <c r="O460" i="2"/>
  <c r="O525" i="2"/>
  <c r="O509" i="2"/>
  <c r="O511" i="2" s="1"/>
  <c r="F460" i="2"/>
  <c r="F525" i="2"/>
  <c r="F509" i="2"/>
  <c r="F511" i="2" s="1"/>
  <c r="P460" i="2"/>
  <c r="P525" i="2"/>
  <c r="P527" i="2" s="1"/>
  <c r="P509" i="2"/>
  <c r="P511" i="2" s="1"/>
  <c r="L460" i="2"/>
  <c r="L525" i="2"/>
  <c r="L509" i="2"/>
  <c r="L511" i="2" s="1"/>
  <c r="Q313" i="2"/>
  <c r="J36" i="1"/>
  <c r="J162" i="1" s="1"/>
  <c r="J140" i="1"/>
  <c r="J142" i="1" s="1"/>
  <c r="J145" i="1" s="1"/>
  <c r="L36" i="1"/>
  <c r="L162" i="1" s="1"/>
  <c r="L140" i="1"/>
  <c r="D109" i="1"/>
  <c r="D112" i="1" s="1"/>
  <c r="D460" i="2"/>
  <c r="B332" i="2"/>
  <c r="K50" i="1"/>
  <c r="K163" i="1" s="1"/>
  <c r="K152" i="1"/>
  <c r="K153" i="1" s="1"/>
  <c r="K156" i="1" s="1"/>
  <c r="C36" i="1"/>
  <c r="C162" i="1" s="1"/>
  <c r="C140" i="1"/>
  <c r="D36" i="1"/>
  <c r="D162" i="1" s="1"/>
  <c r="D140" i="1"/>
  <c r="I41" i="1"/>
  <c r="L54" i="1"/>
  <c r="J97" i="1"/>
  <c r="J50" i="1"/>
  <c r="J163" i="1" s="1"/>
  <c r="J152" i="1"/>
  <c r="J153" i="1" s="1"/>
  <c r="J156" i="1" s="1"/>
  <c r="J54" i="1"/>
  <c r="O36" i="1"/>
  <c r="O162" i="1" s="1"/>
  <c r="O140" i="1"/>
  <c r="K77" i="1"/>
  <c r="K166" i="1" s="1"/>
  <c r="K144" i="1"/>
  <c r="C109" i="1"/>
  <c r="C460" i="2"/>
  <c r="F108" i="1"/>
  <c r="G108" i="1"/>
  <c r="K36" i="1"/>
  <c r="K162" i="1" s="1"/>
  <c r="K164" i="1" s="1"/>
  <c r="K140" i="1"/>
  <c r="K142" i="1" s="1"/>
  <c r="K145" i="1" s="1"/>
  <c r="Q337" i="2"/>
  <c r="M325" i="2"/>
  <c r="R369" i="2"/>
  <c r="B296" i="2"/>
  <c r="B320" i="2"/>
  <c r="M269" i="2"/>
  <c r="M313" i="2"/>
  <c r="Q325" i="2"/>
  <c r="Q17" i="2"/>
  <c r="Q22" i="2" s="1"/>
  <c r="R318" i="2"/>
  <c r="X310" i="2" s="1"/>
  <c r="Q348" i="2" s="1"/>
  <c r="R330" i="2"/>
  <c r="E267" i="2"/>
  <c r="M337" i="2"/>
  <c r="R306" i="2"/>
  <c r="W310" i="2" s="1"/>
  <c r="M347" i="2" s="1"/>
  <c r="D296" i="2"/>
  <c r="D308" i="2"/>
  <c r="D332" i="2"/>
  <c r="D320" i="2"/>
  <c r="H299" i="2"/>
  <c r="H323" i="2"/>
  <c r="H311" i="2"/>
  <c r="H335" i="2"/>
  <c r="D297" i="2"/>
  <c r="D333" i="2"/>
  <c r="D309" i="2"/>
  <c r="B298" i="2"/>
  <c r="B322" i="2"/>
  <c r="B334" i="2"/>
  <c r="B310" i="2"/>
  <c r="M267" i="2"/>
  <c r="G297" i="2"/>
  <c r="G309" i="2"/>
  <c r="G333" i="2"/>
  <c r="G321" i="2"/>
  <c r="E269" i="2"/>
  <c r="G298" i="2"/>
  <c r="G310" i="2"/>
  <c r="G334" i="2"/>
  <c r="G322" i="2"/>
  <c r="Q269" i="2"/>
  <c r="E268" i="2"/>
  <c r="B297" i="2"/>
  <c r="B321" i="2"/>
  <c r="D321" i="2"/>
  <c r="B333" i="2"/>
  <c r="B309" i="2"/>
  <c r="I269" i="2"/>
  <c r="I268" i="2"/>
  <c r="C297" i="2"/>
  <c r="C309" i="2"/>
  <c r="C333" i="2"/>
  <c r="C321" i="2"/>
  <c r="G299" i="2"/>
  <c r="G335" i="2"/>
  <c r="G323" i="2"/>
  <c r="G311" i="2"/>
  <c r="C298" i="2"/>
  <c r="C310" i="2"/>
  <c r="C334" i="2"/>
  <c r="C322" i="2"/>
  <c r="H298" i="2"/>
  <c r="H334" i="2"/>
  <c r="H322" i="2"/>
  <c r="H310" i="2"/>
  <c r="M270" i="2"/>
  <c r="R258" i="2"/>
  <c r="R255" i="2"/>
  <c r="R257" i="2"/>
  <c r="R265" i="2"/>
  <c r="R254" i="2"/>
  <c r="R253" i="2"/>
  <c r="R264" i="2"/>
  <c r="R252" i="2"/>
  <c r="R263" i="2"/>
  <c r="R260" i="2"/>
  <c r="R259" i="2"/>
  <c r="R250" i="2"/>
  <c r="R262" i="2"/>
  <c r="Q267" i="2"/>
  <c r="Q268" i="2"/>
  <c r="I267" i="2"/>
  <c r="M268" i="2"/>
  <c r="E270" i="2"/>
  <c r="Q270" i="2"/>
  <c r="I270" i="2"/>
  <c r="R248" i="2"/>
  <c r="R249" i="2"/>
  <c r="Q301" i="2"/>
  <c r="R247" i="2"/>
  <c r="R293" i="2"/>
  <c r="V310" i="2" s="1"/>
  <c r="Q300" i="2"/>
  <c r="M300" i="2"/>
  <c r="M301" i="2"/>
  <c r="B148" i="2"/>
  <c r="B216" i="2" s="1"/>
  <c r="E197" i="2"/>
  <c r="M180" i="2"/>
  <c r="R189" i="2"/>
  <c r="M197" i="2"/>
  <c r="Q197" i="2"/>
  <c r="Q228" i="2"/>
  <c r="M220" i="2"/>
  <c r="Q226" i="2"/>
  <c r="R175" i="2"/>
  <c r="I197" i="2"/>
  <c r="C192" i="2"/>
  <c r="C236" i="2" s="1"/>
  <c r="C178" i="2"/>
  <c r="C230" i="2" s="1"/>
  <c r="H193" i="2"/>
  <c r="H237" i="2" s="1"/>
  <c r="H179" i="2"/>
  <c r="H231" i="2" s="1"/>
  <c r="G192" i="2"/>
  <c r="G236" i="2" s="1"/>
  <c r="G178" i="2"/>
  <c r="G230" i="2" s="1"/>
  <c r="D190" i="2"/>
  <c r="D176" i="2"/>
  <c r="G191" i="2"/>
  <c r="G235" i="2" s="1"/>
  <c r="G177" i="2"/>
  <c r="G229" i="2" s="1"/>
  <c r="C191" i="2"/>
  <c r="C235" i="2" s="1"/>
  <c r="C177" i="2"/>
  <c r="D191" i="2"/>
  <c r="D235" i="2" s="1"/>
  <c r="D177" i="2"/>
  <c r="D229" i="2" s="1"/>
  <c r="H192" i="2"/>
  <c r="H236" i="2" s="1"/>
  <c r="H178" i="2"/>
  <c r="H230" i="2" s="1"/>
  <c r="G193" i="2"/>
  <c r="G237" i="2" s="1"/>
  <c r="G179" i="2"/>
  <c r="G231" i="2" s="1"/>
  <c r="L153" i="2"/>
  <c r="L196" i="2"/>
  <c r="L198" i="2" s="1"/>
  <c r="J153" i="2"/>
  <c r="J196" i="2"/>
  <c r="J198" i="2" s="1"/>
  <c r="K153" i="2"/>
  <c r="K196" i="2"/>
  <c r="K198" i="2" s="1"/>
  <c r="P153" i="2"/>
  <c r="P196" i="2"/>
  <c r="P198" i="2" s="1"/>
  <c r="K232" i="2"/>
  <c r="K239" i="2" s="1"/>
  <c r="L195" i="2"/>
  <c r="M195" i="2" s="1"/>
  <c r="M194" i="2"/>
  <c r="P239" i="2"/>
  <c r="Q238" i="2"/>
  <c r="J226" i="2"/>
  <c r="M223" i="2"/>
  <c r="M226" i="2" s="1"/>
  <c r="N220" i="2"/>
  <c r="Q218" i="2"/>
  <c r="Q220" i="2" s="1"/>
  <c r="Q194" i="2"/>
  <c r="N195" i="2"/>
  <c r="Q195" i="2" s="1"/>
  <c r="O196" i="2"/>
  <c r="O198" i="2" s="1"/>
  <c r="O181" i="2"/>
  <c r="M238" i="2"/>
  <c r="O239" i="2"/>
  <c r="Q180" i="2"/>
  <c r="N196" i="2"/>
  <c r="N181" i="2"/>
  <c r="M181" i="2"/>
  <c r="L239" i="2"/>
  <c r="J232" i="2"/>
  <c r="M228" i="2"/>
  <c r="N232" i="2"/>
  <c r="Q166" i="2"/>
  <c r="R147" i="2"/>
  <c r="R161" i="2"/>
  <c r="M152" i="2"/>
  <c r="G149" i="2"/>
  <c r="G217" i="2" s="1"/>
  <c r="G163" i="2"/>
  <c r="G223" i="2" s="1"/>
  <c r="C149" i="2"/>
  <c r="C217" i="2" s="1"/>
  <c r="C163" i="2"/>
  <c r="C223" i="2" s="1"/>
  <c r="G151" i="2"/>
  <c r="G219" i="2" s="1"/>
  <c r="G165" i="2"/>
  <c r="G225" i="2" s="1"/>
  <c r="M166" i="2"/>
  <c r="H165" i="2"/>
  <c r="H225" i="2" s="1"/>
  <c r="H151" i="2"/>
  <c r="H219" i="2" s="1"/>
  <c r="D149" i="2"/>
  <c r="D217" i="2" s="1"/>
  <c r="D163" i="2"/>
  <c r="D223" i="2" s="1"/>
  <c r="B164" i="2"/>
  <c r="B224" i="2" s="1"/>
  <c r="B178" i="2"/>
  <c r="B150" i="2"/>
  <c r="B218" i="2" s="1"/>
  <c r="B192" i="2"/>
  <c r="C164" i="2"/>
  <c r="C224" i="2" s="1"/>
  <c r="C150" i="2"/>
  <c r="C218" i="2" s="1"/>
  <c r="B190" i="2"/>
  <c r="B176" i="2"/>
  <c r="B162" i="2"/>
  <c r="B222" i="2" s="1"/>
  <c r="H51" i="2"/>
  <c r="H78" i="2" s="1"/>
  <c r="H164" i="2"/>
  <c r="H224" i="2" s="1"/>
  <c r="H150" i="2"/>
  <c r="H218" i="2" s="1"/>
  <c r="G150" i="2"/>
  <c r="G218" i="2" s="1"/>
  <c r="G164" i="2"/>
  <c r="G224" i="2" s="1"/>
  <c r="B163" i="2"/>
  <c r="B223" i="2" s="1"/>
  <c r="B191" i="2"/>
  <c r="B177" i="2"/>
  <c r="B229" i="2" s="1"/>
  <c r="B149" i="2"/>
  <c r="B217" i="2" s="1"/>
  <c r="D162" i="2"/>
  <c r="D222" i="2" s="1"/>
  <c r="D148" i="2"/>
  <c r="D216" i="2" s="1"/>
  <c r="N153" i="2"/>
  <c r="Q152" i="2"/>
  <c r="Q68" i="2"/>
  <c r="J112" i="2"/>
  <c r="H107" i="2"/>
  <c r="L112" i="2"/>
  <c r="N102" i="2"/>
  <c r="K98" i="2"/>
  <c r="L96" i="2"/>
  <c r="K112" i="2"/>
  <c r="O97" i="2"/>
  <c r="P96" i="2" s="1"/>
  <c r="N98" i="2"/>
  <c r="O96" i="2"/>
  <c r="L102" i="2"/>
  <c r="O108" i="2"/>
  <c r="P106" i="2"/>
  <c r="O102" i="2"/>
  <c r="O112" i="2"/>
  <c r="L107" i="2"/>
  <c r="K107" i="2"/>
  <c r="L101" i="2"/>
  <c r="K103" i="2"/>
  <c r="J107" i="2"/>
  <c r="B57" i="2"/>
  <c r="B84" i="2" s="1"/>
  <c r="N107" i="2"/>
  <c r="J103" i="2"/>
  <c r="K101" i="2"/>
  <c r="K104" i="2" s="1"/>
  <c r="K124" i="2" s="1"/>
  <c r="K125" i="2" s="1"/>
  <c r="N112" i="2"/>
  <c r="B55" i="2"/>
  <c r="B82" i="2" s="1"/>
  <c r="J97" i="2"/>
  <c r="H98" i="2"/>
  <c r="J96" i="2"/>
  <c r="M41" i="2"/>
  <c r="L97" i="2" s="1"/>
  <c r="Q84" i="2"/>
  <c r="J74" i="2"/>
  <c r="M74" i="2" s="1"/>
  <c r="Q73" i="2"/>
  <c r="Q85" i="2"/>
  <c r="Q77" i="2"/>
  <c r="O86" i="2"/>
  <c r="P86" i="2"/>
  <c r="Q82" i="2"/>
  <c r="Q74" i="2"/>
  <c r="Q79" i="2"/>
  <c r="P80" i="2"/>
  <c r="M80" i="2"/>
  <c r="Q78" i="2"/>
  <c r="N80" i="2"/>
  <c r="M86" i="2"/>
  <c r="M68" i="2"/>
  <c r="Q76" i="2"/>
  <c r="L77" i="1"/>
  <c r="L166" i="1" s="1"/>
  <c r="E56" i="1"/>
  <c r="N120" i="1"/>
  <c r="G97" i="1"/>
  <c r="M76" i="1"/>
  <c r="M155" i="1" s="1"/>
  <c r="I72" i="1"/>
  <c r="I144" i="1" s="1"/>
  <c r="G91" i="1"/>
  <c r="G165" i="1" s="1"/>
  <c r="Q72" i="1"/>
  <c r="Q144" i="1" s="1"/>
  <c r="C91" i="1"/>
  <c r="Q76" i="1"/>
  <c r="Q155" i="1" s="1"/>
  <c r="F130" i="1"/>
  <c r="G131" i="1"/>
  <c r="G134" i="1" s="1"/>
  <c r="J77" i="1"/>
  <c r="J166" i="1" s="1"/>
  <c r="F77" i="1"/>
  <c r="F166" i="1" s="1"/>
  <c r="L109" i="1"/>
  <c r="L112" i="1" s="1"/>
  <c r="L98" i="1"/>
  <c r="D77" i="1"/>
  <c r="D166" i="1" s="1"/>
  <c r="P77" i="1"/>
  <c r="P166" i="1" s="1"/>
  <c r="M42" i="1"/>
  <c r="M55" i="1" s="1"/>
  <c r="G36" i="1"/>
  <c r="G162" i="1" s="1"/>
  <c r="E107" i="1"/>
  <c r="E458" i="2" s="1"/>
  <c r="Q61" i="1"/>
  <c r="I48" i="1"/>
  <c r="R48" i="1" s="1"/>
  <c r="H77" i="1"/>
  <c r="H166" i="1" s="1"/>
  <c r="H130" i="1"/>
  <c r="E90" i="1"/>
  <c r="E154" i="1" s="1"/>
  <c r="E156" i="1" s="1"/>
  <c r="N91" i="1"/>
  <c r="N165" i="1" s="1"/>
  <c r="L57" i="1"/>
  <c r="Q42" i="1"/>
  <c r="Q55" i="1" s="1"/>
  <c r="Q31" i="1"/>
  <c r="H54" i="1"/>
  <c r="H58" i="1" s="1"/>
  <c r="Q110" i="1"/>
  <c r="E76" i="1"/>
  <c r="E155" i="1" s="1"/>
  <c r="I107" i="1"/>
  <c r="I458" i="2" s="1"/>
  <c r="R28" i="1"/>
  <c r="C77" i="1"/>
  <c r="C166" i="1" s="1"/>
  <c r="E109" i="1"/>
  <c r="N36" i="1"/>
  <c r="N162" i="1" s="1"/>
  <c r="G77" i="1"/>
  <c r="G166" i="1" s="1"/>
  <c r="M100" i="1"/>
  <c r="L45" i="1"/>
  <c r="E62" i="1"/>
  <c r="E60" i="1"/>
  <c r="K131" i="1"/>
  <c r="K134" i="1" s="1"/>
  <c r="L91" i="1"/>
  <c r="L165" i="1" s="1"/>
  <c r="P36" i="1"/>
  <c r="P162" i="1" s="1"/>
  <c r="R70" i="1"/>
  <c r="R122" i="1" s="1"/>
  <c r="N54" i="1"/>
  <c r="N77" i="1"/>
  <c r="N166" i="1" s="1"/>
  <c r="I111" i="1"/>
  <c r="D101" i="1"/>
  <c r="N123" i="1"/>
  <c r="O77" i="1"/>
  <c r="O166" i="1" s="1"/>
  <c r="I100" i="1"/>
  <c r="E110" i="1"/>
  <c r="J62" i="1"/>
  <c r="E100" i="1"/>
  <c r="M31" i="1"/>
  <c r="P131" i="1"/>
  <c r="P134" i="1" s="1"/>
  <c r="E54" i="1"/>
  <c r="H39" i="2"/>
  <c r="H66" i="2" s="1"/>
  <c r="F91" i="1"/>
  <c r="F165" i="1" s="1"/>
  <c r="N49" i="1"/>
  <c r="N152" i="1" s="1"/>
  <c r="N153" i="1" s="1"/>
  <c r="N156" i="1" s="1"/>
  <c r="I42" i="1"/>
  <c r="I55" i="1" s="1"/>
  <c r="P45" i="1"/>
  <c r="P141" i="1" s="1"/>
  <c r="P142" i="1" s="1"/>
  <c r="P145" i="1" s="1"/>
  <c r="I31" i="1"/>
  <c r="I140" i="1" s="1"/>
  <c r="Q111" i="1"/>
  <c r="L123" i="1"/>
  <c r="R69" i="1"/>
  <c r="I44" i="1"/>
  <c r="I57" i="1" s="1"/>
  <c r="P58" i="1"/>
  <c r="E99" i="1"/>
  <c r="Q86" i="1"/>
  <c r="Q143" i="1" s="1"/>
  <c r="N61" i="1"/>
  <c r="N62" i="1" s="1"/>
  <c r="Q56" i="1"/>
  <c r="B49" i="2"/>
  <c r="B76" i="2" s="1"/>
  <c r="B43" i="2"/>
  <c r="B70" i="2" s="1"/>
  <c r="C57" i="1"/>
  <c r="C58" i="1" s="1"/>
  <c r="C63" i="1" s="1"/>
  <c r="C45" i="1"/>
  <c r="C130" i="1"/>
  <c r="F60" i="1"/>
  <c r="F62" i="1" s="1"/>
  <c r="E111" i="1"/>
  <c r="O57" i="1"/>
  <c r="O130" i="1"/>
  <c r="O60" i="1"/>
  <c r="O62" i="1" s="1"/>
  <c r="O49" i="1"/>
  <c r="O152" i="1" s="1"/>
  <c r="O153" i="1" s="1"/>
  <c r="O156" i="1" s="1"/>
  <c r="M72" i="1"/>
  <c r="Q100" i="1"/>
  <c r="Q47" i="1"/>
  <c r="D57" i="1"/>
  <c r="D58" i="1" s="1"/>
  <c r="D63" i="1" s="1"/>
  <c r="D130" i="1"/>
  <c r="D45" i="1"/>
  <c r="Q107" i="1"/>
  <c r="Q458" i="2" s="1"/>
  <c r="J119" i="1"/>
  <c r="J120" i="1" s="1"/>
  <c r="J123" i="1" s="1"/>
  <c r="M43" i="1"/>
  <c r="N45" i="1"/>
  <c r="N141" i="1" s="1"/>
  <c r="N142" i="1" s="1"/>
  <c r="N145" i="1" s="1"/>
  <c r="N97" i="1"/>
  <c r="N108" i="1"/>
  <c r="N109" i="1" s="1"/>
  <c r="N112" i="1" s="1"/>
  <c r="M47" i="1"/>
  <c r="M60" i="1" s="1"/>
  <c r="M62" i="1" s="1"/>
  <c r="P49" i="1"/>
  <c r="P152" i="1" s="1"/>
  <c r="P153" i="1" s="1"/>
  <c r="P156" i="1" s="1"/>
  <c r="P108" i="1"/>
  <c r="P109" i="1" s="1"/>
  <c r="P112" i="1" s="1"/>
  <c r="P97" i="1"/>
  <c r="P98" i="1" s="1"/>
  <c r="R29" i="1"/>
  <c r="R118" i="1" s="1"/>
  <c r="C101" i="1"/>
  <c r="R68" i="1"/>
  <c r="M99" i="1"/>
  <c r="O45" i="1"/>
  <c r="Q118" i="1"/>
  <c r="Q120" i="1" s="1"/>
  <c r="Q123" i="1" s="1"/>
  <c r="Q99" i="1"/>
  <c r="O97" i="1"/>
  <c r="O98" i="1" s="1"/>
  <c r="K60" i="1"/>
  <c r="K62" i="1" s="1"/>
  <c r="O58" i="1"/>
  <c r="P60" i="1"/>
  <c r="P62" i="1" s="1"/>
  <c r="M44" i="1"/>
  <c r="M57" i="1" s="1"/>
  <c r="J57" i="1"/>
  <c r="J58" i="1" s="1"/>
  <c r="J130" i="1"/>
  <c r="J493" i="2" s="1"/>
  <c r="M49" i="1"/>
  <c r="M152" i="1" s="1"/>
  <c r="M153" i="1" s="1"/>
  <c r="K57" i="1"/>
  <c r="K58" i="1" s="1"/>
  <c r="K97" i="1"/>
  <c r="M41" i="1"/>
  <c r="R41" i="1" s="1"/>
  <c r="K108" i="1"/>
  <c r="M108" i="1" s="1"/>
  <c r="R27" i="1"/>
  <c r="K91" i="1"/>
  <c r="K165" i="1" s="1"/>
  <c r="O108" i="1"/>
  <c r="O109" i="1" s="1"/>
  <c r="O112" i="1" s="1"/>
  <c r="I99" i="1"/>
  <c r="N130" i="1"/>
  <c r="N493" i="2" s="1"/>
  <c r="Q44" i="1"/>
  <c r="N57" i="1"/>
  <c r="R12" i="2"/>
  <c r="Q53" i="2"/>
  <c r="Q19" i="2"/>
  <c r="Q479" i="2" s="1"/>
  <c r="B45" i="2"/>
  <c r="B72" i="2" s="1"/>
  <c r="M47" i="2"/>
  <c r="B51" i="2"/>
  <c r="B78" i="2" s="1"/>
  <c r="B39" i="2"/>
  <c r="B66" i="2" s="1"/>
  <c r="M53" i="2"/>
  <c r="H28" i="2"/>
  <c r="H57" i="2"/>
  <c r="H84" i="2" s="1"/>
  <c r="M7" i="2"/>
  <c r="H45" i="2"/>
  <c r="H72" i="2" s="1"/>
  <c r="F27" i="2"/>
  <c r="Q59" i="2"/>
  <c r="M59" i="2"/>
  <c r="H23" i="2"/>
  <c r="J8" i="2"/>
  <c r="M8" i="2" s="1"/>
  <c r="D50" i="2"/>
  <c r="D77" i="2" s="1"/>
  <c r="D44" i="2"/>
  <c r="D71" i="2" s="1"/>
  <c r="D56" i="2"/>
  <c r="D83" i="2" s="1"/>
  <c r="E24" i="2"/>
  <c r="L9" i="2"/>
  <c r="L478" i="2" s="1"/>
  <c r="L480" i="2" s="1"/>
  <c r="M480" i="2" s="1"/>
  <c r="K24" i="2"/>
  <c r="H58" i="2"/>
  <c r="H85" i="2" s="1"/>
  <c r="H46" i="2"/>
  <c r="H73" i="2" s="1"/>
  <c r="H52" i="2"/>
  <c r="H79" i="2" s="1"/>
  <c r="H40" i="2"/>
  <c r="H67" i="2" s="1"/>
  <c r="E10" i="2"/>
  <c r="E495" i="2" s="1"/>
  <c r="C30" i="2"/>
  <c r="C57" i="2"/>
  <c r="C84" i="2" s="1"/>
  <c r="C45" i="2"/>
  <c r="C72" i="2" s="1"/>
  <c r="C39" i="2"/>
  <c r="C66" i="2" s="1"/>
  <c r="C51" i="2"/>
  <c r="C78" i="2" s="1"/>
  <c r="D49" i="2"/>
  <c r="D76" i="2" s="1"/>
  <c r="D43" i="2"/>
  <c r="D70" i="2" s="1"/>
  <c r="D55" i="2"/>
  <c r="D82" i="2" s="1"/>
  <c r="E7" i="2"/>
  <c r="C27" i="2"/>
  <c r="B50" i="2"/>
  <c r="B77" i="2" s="1"/>
  <c r="B44" i="2"/>
  <c r="B71" i="2" s="1"/>
  <c r="B56" i="2"/>
  <c r="B83" i="2" s="1"/>
  <c r="I8" i="2"/>
  <c r="I28" i="2" s="1"/>
  <c r="G58" i="2"/>
  <c r="G85" i="2" s="1"/>
  <c r="G46" i="2"/>
  <c r="G73" i="2" s="1"/>
  <c r="G40" i="2"/>
  <c r="G67" i="2" s="1"/>
  <c r="G52" i="2"/>
  <c r="G79" i="2" s="1"/>
  <c r="R14" i="2"/>
  <c r="E9" i="2"/>
  <c r="E478" i="2" s="1"/>
  <c r="Q47" i="2"/>
  <c r="E23" i="2"/>
  <c r="R18" i="2"/>
  <c r="R23" i="2" s="1"/>
  <c r="F10" i="2"/>
  <c r="F495" i="2" s="1"/>
  <c r="D25" i="2"/>
  <c r="D30" i="2"/>
  <c r="E20" i="2"/>
  <c r="E496" i="2" s="1"/>
  <c r="F9" i="2"/>
  <c r="F478" i="2" s="1"/>
  <c r="F480" i="2" s="1"/>
  <c r="I480" i="2" s="1"/>
  <c r="C50" i="2"/>
  <c r="C77" i="2" s="1"/>
  <c r="C56" i="2"/>
  <c r="C83" i="2" s="1"/>
  <c r="C44" i="2"/>
  <c r="C71" i="2" s="1"/>
  <c r="G51" i="2"/>
  <c r="G78" i="2" s="1"/>
  <c r="G45" i="2"/>
  <c r="G72" i="2" s="1"/>
  <c r="G39" i="2"/>
  <c r="G66" i="2" s="1"/>
  <c r="G57" i="2"/>
  <c r="G84" i="2" s="1"/>
  <c r="M19" i="2"/>
  <c r="M479" i="2" s="1"/>
  <c r="G50" i="2"/>
  <c r="G77" i="2" s="1"/>
  <c r="G44" i="2"/>
  <c r="G71" i="2" s="1"/>
  <c r="G56" i="2"/>
  <c r="G83" i="2" s="1"/>
  <c r="I17" i="2"/>
  <c r="G7" i="2"/>
  <c r="G27" i="2" s="1"/>
  <c r="F22" i="2"/>
  <c r="N10" i="2"/>
  <c r="L25" i="2"/>
  <c r="Q8" i="2"/>
  <c r="Q41" i="2"/>
  <c r="D29" i="2"/>
  <c r="D481" i="2" s="1"/>
  <c r="E481" i="2" s="1"/>
  <c r="F28" i="2"/>
  <c r="H7" i="2"/>
  <c r="H27" i="2" s="1"/>
  <c r="G22" i="2"/>
  <c r="N9" i="2"/>
  <c r="N478" i="2" s="1"/>
  <c r="N480" i="2" s="1"/>
  <c r="Q480" i="2" s="1"/>
  <c r="L24" i="2"/>
  <c r="R13" i="2"/>
  <c r="E8" i="2"/>
  <c r="Q7" i="2"/>
  <c r="Q90" i="1"/>
  <c r="Q154" i="1" s="1"/>
  <c r="P91" i="1"/>
  <c r="P165" i="1" s="1"/>
  <c r="O91" i="1"/>
  <c r="O165" i="1" s="1"/>
  <c r="R89" i="1"/>
  <c r="R88" i="1"/>
  <c r="M90" i="1"/>
  <c r="M154" i="1" s="1"/>
  <c r="M110" i="1"/>
  <c r="I110" i="1"/>
  <c r="I90" i="1"/>
  <c r="I154" i="1" s="1"/>
  <c r="D91" i="1"/>
  <c r="D165" i="1" s="1"/>
  <c r="C112" i="1"/>
  <c r="H91" i="1"/>
  <c r="H165" i="1" s="1"/>
  <c r="I86" i="1"/>
  <c r="I143" i="1" s="1"/>
  <c r="F123" i="1"/>
  <c r="M86" i="1"/>
  <c r="M143" i="1" s="1"/>
  <c r="J91" i="1"/>
  <c r="J165" i="1" s="1"/>
  <c r="R82" i="1"/>
  <c r="R83" i="1"/>
  <c r="E123" i="1"/>
  <c r="R84" i="1"/>
  <c r="F36" i="1"/>
  <c r="F162" i="1" s="1"/>
  <c r="I35" i="1"/>
  <c r="J98" i="1"/>
  <c r="H36" i="1"/>
  <c r="H162" i="1" s="1"/>
  <c r="G98" i="1"/>
  <c r="J109" i="1"/>
  <c r="M107" i="1"/>
  <c r="M458" i="2" s="1"/>
  <c r="G56" i="1"/>
  <c r="G58" i="1" s="1"/>
  <c r="G119" i="1"/>
  <c r="G120" i="1" s="1"/>
  <c r="G123" i="1" s="1"/>
  <c r="R75" i="1"/>
  <c r="H108" i="1"/>
  <c r="I108" i="1" s="1"/>
  <c r="H97" i="1"/>
  <c r="H98" i="1" s="1"/>
  <c r="Q54" i="1"/>
  <c r="H45" i="1"/>
  <c r="H141" i="1" s="1"/>
  <c r="H142" i="1" s="1"/>
  <c r="H145" i="1" s="1"/>
  <c r="H119" i="1"/>
  <c r="H120" i="1" s="1"/>
  <c r="H123" i="1" s="1"/>
  <c r="F56" i="1"/>
  <c r="I76" i="1"/>
  <c r="I155" i="1" s="1"/>
  <c r="F109" i="1"/>
  <c r="M111" i="1"/>
  <c r="G109" i="1"/>
  <c r="G112" i="1" s="1"/>
  <c r="F97" i="1"/>
  <c r="F98" i="1" s="1"/>
  <c r="R74" i="1"/>
  <c r="G45" i="1"/>
  <c r="G141" i="1" s="1"/>
  <c r="G142" i="1" s="1"/>
  <c r="G145" i="1" s="1"/>
  <c r="H49" i="1"/>
  <c r="H152" i="1" s="1"/>
  <c r="H153" i="1" s="1"/>
  <c r="H156" i="1" s="1"/>
  <c r="F45" i="1"/>
  <c r="F141" i="1" s="1"/>
  <c r="F142" i="1" s="1"/>
  <c r="F145" i="1" s="1"/>
  <c r="I47" i="1"/>
  <c r="F49" i="1"/>
  <c r="F152" i="1" s="1"/>
  <c r="F153" i="1" s="1"/>
  <c r="F156" i="1" s="1"/>
  <c r="H61" i="1"/>
  <c r="H62" i="1" s="1"/>
  <c r="I43" i="1"/>
  <c r="I119" i="1" s="1"/>
  <c r="I120" i="1" s="1"/>
  <c r="I123" i="1" s="1"/>
  <c r="G49" i="1"/>
  <c r="G152" i="1" s="1"/>
  <c r="G153" i="1" s="1"/>
  <c r="G156" i="1" s="1"/>
  <c r="G60" i="1"/>
  <c r="G62" i="1" s="1"/>
  <c r="R33" i="1"/>
  <c r="R34" i="1"/>
  <c r="I54" i="1"/>
  <c r="F55" i="1"/>
  <c r="N526" i="2" l="1"/>
  <c r="N494" i="2"/>
  <c r="J526" i="2"/>
  <c r="M493" i="2"/>
  <c r="J494" i="2"/>
  <c r="O131" i="1"/>
  <c r="O134" i="1" s="1"/>
  <c r="O493" i="2"/>
  <c r="N527" i="2"/>
  <c r="Q525" i="2"/>
  <c r="J527" i="2"/>
  <c r="M525" i="2"/>
  <c r="L526" i="2"/>
  <c r="L527" i="2" s="1"/>
  <c r="L494" i="2"/>
  <c r="D131" i="1"/>
  <c r="D134" i="1" s="1"/>
  <c r="D493" i="2"/>
  <c r="C131" i="1"/>
  <c r="C134" i="1" s="1"/>
  <c r="C493" i="2"/>
  <c r="H131" i="1"/>
  <c r="H134" i="1" s="1"/>
  <c r="H493" i="2"/>
  <c r="F131" i="1"/>
  <c r="F134" i="1" s="1"/>
  <c r="F493" i="2"/>
  <c r="I525" i="2"/>
  <c r="Q10" i="2"/>
  <c r="Q495" i="2" s="1"/>
  <c r="N495" i="2"/>
  <c r="C498" i="2"/>
  <c r="R480" i="2"/>
  <c r="Q24" i="2"/>
  <c r="Q9" i="2"/>
  <c r="Q478" i="2" s="1"/>
  <c r="M9" i="2"/>
  <c r="M478" i="2" s="1"/>
  <c r="M24" i="2"/>
  <c r="M460" i="2"/>
  <c r="D448" i="2"/>
  <c r="C448" i="2"/>
  <c r="C531" i="2" s="1"/>
  <c r="Q460" i="2"/>
  <c r="I460" i="2"/>
  <c r="R511" i="2"/>
  <c r="E448" i="2"/>
  <c r="E460" i="2"/>
  <c r="R460" i="2" s="1"/>
  <c r="R458" i="2"/>
  <c r="O101" i="1"/>
  <c r="O444" i="2"/>
  <c r="P101" i="1"/>
  <c r="P444" i="2"/>
  <c r="G101" i="1"/>
  <c r="G444" i="2"/>
  <c r="H101" i="1"/>
  <c r="H444" i="2"/>
  <c r="F101" i="1"/>
  <c r="F444" i="2"/>
  <c r="J101" i="1"/>
  <c r="J444" i="2"/>
  <c r="L101" i="1"/>
  <c r="L444" i="2"/>
  <c r="C165" i="1"/>
  <c r="M77" i="1"/>
  <c r="M166" i="1" s="1"/>
  <c r="M144" i="1"/>
  <c r="M36" i="1"/>
  <c r="M162" i="1" s="1"/>
  <c r="M140" i="1"/>
  <c r="D50" i="1"/>
  <c r="D163" i="1" s="1"/>
  <c r="D164" i="1" s="1"/>
  <c r="D167" i="1" s="1"/>
  <c r="D141" i="1"/>
  <c r="D142" i="1" s="1"/>
  <c r="D145" i="1" s="1"/>
  <c r="K167" i="1"/>
  <c r="C50" i="1"/>
  <c r="C163" i="1" s="1"/>
  <c r="C164" i="1" s="1"/>
  <c r="C167" i="1" s="1"/>
  <c r="C141" i="1"/>
  <c r="C142" i="1" s="1"/>
  <c r="C145" i="1" s="1"/>
  <c r="R35" i="1"/>
  <c r="R151" i="1" s="1"/>
  <c r="I151" i="1"/>
  <c r="M97" i="1"/>
  <c r="L58" i="1"/>
  <c r="L63" i="1" s="1"/>
  <c r="O50" i="1"/>
  <c r="O163" i="1" s="1"/>
  <c r="O164" i="1" s="1"/>
  <c r="O167" i="1" s="1"/>
  <c r="O141" i="1"/>
  <c r="O142" i="1" s="1"/>
  <c r="O145" i="1" s="1"/>
  <c r="Q36" i="1"/>
  <c r="Q162" i="1" s="1"/>
  <c r="Q140" i="1"/>
  <c r="L50" i="1"/>
  <c r="L163" i="1" s="1"/>
  <c r="L164" i="1" s="1"/>
  <c r="L167" i="1" s="1"/>
  <c r="L141" i="1"/>
  <c r="L142" i="1" s="1"/>
  <c r="L145" i="1" s="1"/>
  <c r="M145" i="1" s="1"/>
  <c r="J164" i="1"/>
  <c r="J167" i="1" s="1"/>
  <c r="M156" i="1"/>
  <c r="E297" i="2"/>
  <c r="Y310" i="2"/>
  <c r="E360" i="2" s="1"/>
  <c r="R268" i="2"/>
  <c r="C358" i="2"/>
  <c r="K347" i="2"/>
  <c r="N347" i="2"/>
  <c r="C357" i="2"/>
  <c r="C360" i="2"/>
  <c r="P347" i="2"/>
  <c r="O347" i="2"/>
  <c r="C359" i="2"/>
  <c r="J347" i="2"/>
  <c r="Q347" i="2"/>
  <c r="R270" i="2"/>
  <c r="E309" i="2"/>
  <c r="F297" i="2"/>
  <c r="F333" i="2"/>
  <c r="F309" i="2"/>
  <c r="F321" i="2"/>
  <c r="E333" i="2"/>
  <c r="B358" i="2"/>
  <c r="L346" i="2"/>
  <c r="O346" i="2"/>
  <c r="B357" i="2"/>
  <c r="K346" i="2"/>
  <c r="P346" i="2"/>
  <c r="B360" i="2"/>
  <c r="N346" i="2"/>
  <c r="J346" i="2"/>
  <c r="Q346" i="2"/>
  <c r="B359" i="2"/>
  <c r="M346" i="2"/>
  <c r="E321" i="2"/>
  <c r="H296" i="2"/>
  <c r="H308" i="2"/>
  <c r="H320" i="2"/>
  <c r="H332" i="2"/>
  <c r="G296" i="2"/>
  <c r="G300" i="2" s="1"/>
  <c r="G301" i="2" s="1"/>
  <c r="G332" i="2"/>
  <c r="G336" i="2" s="1"/>
  <c r="G337" i="2" s="1"/>
  <c r="G320" i="2"/>
  <c r="G324" i="2" s="1"/>
  <c r="G308" i="2"/>
  <c r="G312" i="2" s="1"/>
  <c r="D298" i="2"/>
  <c r="E298" i="2" s="1"/>
  <c r="D334" i="2"/>
  <c r="E334" i="2" s="1"/>
  <c r="D322" i="2"/>
  <c r="E322" i="2" s="1"/>
  <c r="D310" i="2"/>
  <c r="H297" i="2"/>
  <c r="H333" i="2"/>
  <c r="H321" i="2"/>
  <c r="H309" i="2"/>
  <c r="D299" i="2"/>
  <c r="D300" i="2" s="1"/>
  <c r="D311" i="2"/>
  <c r="D335" i="2"/>
  <c r="D323" i="2"/>
  <c r="C296" i="2"/>
  <c r="C320" i="2"/>
  <c r="C308" i="2"/>
  <c r="C332" i="2"/>
  <c r="E332" i="2" s="1"/>
  <c r="C299" i="2"/>
  <c r="C335" i="2"/>
  <c r="C323" i="2"/>
  <c r="C311" i="2"/>
  <c r="F296" i="2"/>
  <c r="F320" i="2"/>
  <c r="F308" i="2"/>
  <c r="F332" i="2"/>
  <c r="E357" i="2"/>
  <c r="N349" i="2"/>
  <c r="M349" i="2"/>
  <c r="D358" i="2"/>
  <c r="D360" i="2"/>
  <c r="D357" i="2"/>
  <c r="D359" i="2"/>
  <c r="O348" i="2"/>
  <c r="K348" i="2"/>
  <c r="J348" i="2"/>
  <c r="L348" i="2"/>
  <c r="P348" i="2"/>
  <c r="M348" i="2"/>
  <c r="N348" i="2"/>
  <c r="R267" i="2"/>
  <c r="R269" i="2"/>
  <c r="N239" i="2"/>
  <c r="R197" i="2"/>
  <c r="J239" i="2"/>
  <c r="M198" i="2"/>
  <c r="M153" i="2"/>
  <c r="Q232" i="2"/>
  <c r="Q239" i="2" s="1"/>
  <c r="M196" i="2"/>
  <c r="Q153" i="2"/>
  <c r="E217" i="2"/>
  <c r="Q181" i="2"/>
  <c r="H190" i="2"/>
  <c r="H176" i="2"/>
  <c r="F191" i="2"/>
  <c r="F177" i="2"/>
  <c r="D192" i="2"/>
  <c r="D236" i="2" s="1"/>
  <c r="D178" i="2"/>
  <c r="D230" i="2" s="1"/>
  <c r="G190" i="2"/>
  <c r="G176" i="2"/>
  <c r="D193" i="2"/>
  <c r="D237" i="2" s="1"/>
  <c r="D179" i="2"/>
  <c r="D231" i="2" s="1"/>
  <c r="C190" i="2"/>
  <c r="E190" i="2" s="1"/>
  <c r="C176" i="2"/>
  <c r="E176" i="2" s="1"/>
  <c r="C162" i="2"/>
  <c r="C222" i="2" s="1"/>
  <c r="C193" i="2"/>
  <c r="C237" i="2" s="1"/>
  <c r="C179" i="2"/>
  <c r="C231" i="2" s="1"/>
  <c r="F190" i="2"/>
  <c r="F176" i="2"/>
  <c r="H191" i="2"/>
  <c r="H235" i="2" s="1"/>
  <c r="H177" i="2"/>
  <c r="H229" i="2" s="1"/>
  <c r="B235" i="2"/>
  <c r="E235" i="2" s="1"/>
  <c r="E191" i="2"/>
  <c r="B228" i="2"/>
  <c r="B234" i="2"/>
  <c r="B236" i="2"/>
  <c r="B230" i="2"/>
  <c r="E177" i="2"/>
  <c r="C229" i="2"/>
  <c r="E229" i="2" s="1"/>
  <c r="D228" i="2"/>
  <c r="D234" i="2"/>
  <c r="Q196" i="2"/>
  <c r="N198" i="2"/>
  <c r="Q198" i="2" s="1"/>
  <c r="M232" i="2"/>
  <c r="M239" i="2" s="1"/>
  <c r="E223" i="2"/>
  <c r="E163" i="2"/>
  <c r="E149" i="2"/>
  <c r="J99" i="2"/>
  <c r="J121" i="2" s="1"/>
  <c r="F49" i="2"/>
  <c r="F76" i="2" s="1"/>
  <c r="F162" i="2"/>
  <c r="F222" i="2" s="1"/>
  <c r="F148" i="2"/>
  <c r="F216" i="2" s="1"/>
  <c r="C165" i="2"/>
  <c r="C225" i="2" s="1"/>
  <c r="C151" i="2"/>
  <c r="C219" i="2" s="1"/>
  <c r="F163" i="2"/>
  <c r="F223" i="2" s="1"/>
  <c r="F149" i="2"/>
  <c r="F217" i="2" s="1"/>
  <c r="G162" i="2"/>
  <c r="G148" i="2"/>
  <c r="H162" i="2"/>
  <c r="H222" i="2" s="1"/>
  <c r="H148" i="2"/>
  <c r="H216" i="2" s="1"/>
  <c r="D164" i="2"/>
  <c r="D150" i="2"/>
  <c r="H44" i="2"/>
  <c r="H71" i="2" s="1"/>
  <c r="H163" i="2"/>
  <c r="H223" i="2" s="1"/>
  <c r="H149" i="2"/>
  <c r="H217" i="2" s="1"/>
  <c r="D165" i="2"/>
  <c r="D225" i="2" s="1"/>
  <c r="D151" i="2"/>
  <c r="D219" i="2" s="1"/>
  <c r="C148" i="2"/>
  <c r="C216" i="2" s="1"/>
  <c r="L104" i="2"/>
  <c r="L124" i="2" s="1"/>
  <c r="L125" i="2" s="1"/>
  <c r="Q86" i="2"/>
  <c r="L98" i="2"/>
  <c r="N96" i="2"/>
  <c r="K96" i="2"/>
  <c r="M97" i="2"/>
  <c r="M98" i="2" s="1"/>
  <c r="J98" i="2"/>
  <c r="O111" i="2"/>
  <c r="O114" i="2" s="1"/>
  <c r="O130" i="2" s="1"/>
  <c r="O131" i="2" s="1"/>
  <c r="N113" i="2"/>
  <c r="O106" i="2"/>
  <c r="N108" i="2"/>
  <c r="M107" i="2"/>
  <c r="K106" i="2"/>
  <c r="K109" i="2" s="1"/>
  <c r="K127" i="2" s="1"/>
  <c r="K128" i="2" s="1"/>
  <c r="J108" i="2"/>
  <c r="L106" i="2"/>
  <c r="L109" i="2" s="1"/>
  <c r="L127" i="2" s="1"/>
  <c r="L128" i="2" s="1"/>
  <c r="K108" i="2"/>
  <c r="N106" i="2"/>
  <c r="N109" i="2" s="1"/>
  <c r="L108" i="2"/>
  <c r="P111" i="2"/>
  <c r="O113" i="2"/>
  <c r="O103" i="2"/>
  <c r="P101" i="2"/>
  <c r="N101" i="2"/>
  <c r="N104" i="2" s="1"/>
  <c r="L103" i="2"/>
  <c r="M102" i="2"/>
  <c r="M103" i="2" s="1"/>
  <c r="O99" i="2"/>
  <c r="O121" i="2" s="1"/>
  <c r="O122" i="2" s="1"/>
  <c r="O98" i="2"/>
  <c r="L111" i="2"/>
  <c r="L114" i="2" s="1"/>
  <c r="L130" i="2" s="1"/>
  <c r="L131" i="2" s="1"/>
  <c r="K113" i="2"/>
  <c r="L99" i="2"/>
  <c r="L121" i="2" s="1"/>
  <c r="L122" i="2" s="1"/>
  <c r="O101" i="2"/>
  <c r="O104" i="2" s="1"/>
  <c r="O124" i="2" s="1"/>
  <c r="O125" i="2" s="1"/>
  <c r="N103" i="2"/>
  <c r="N111" i="2"/>
  <c r="L113" i="2"/>
  <c r="J106" i="2"/>
  <c r="H108" i="2"/>
  <c r="M112" i="2"/>
  <c r="K111" i="2"/>
  <c r="K114" i="2" s="1"/>
  <c r="K130" i="2" s="1"/>
  <c r="K131" i="2" s="1"/>
  <c r="J113" i="2"/>
  <c r="H68" i="2"/>
  <c r="Q80" i="2"/>
  <c r="E83" i="2"/>
  <c r="E77" i="2"/>
  <c r="G68" i="2"/>
  <c r="I72" i="2"/>
  <c r="E71" i="2"/>
  <c r="I77" i="1"/>
  <c r="I166" i="1" s="1"/>
  <c r="O63" i="1"/>
  <c r="M91" i="1"/>
  <c r="M165" i="1" s="1"/>
  <c r="P63" i="1"/>
  <c r="Q77" i="1"/>
  <c r="Q166" i="1" s="1"/>
  <c r="I130" i="1"/>
  <c r="I131" i="1" s="1"/>
  <c r="I134" i="1" s="1"/>
  <c r="I61" i="1"/>
  <c r="E112" i="1"/>
  <c r="N58" i="1"/>
  <c r="N63" i="1" s="1"/>
  <c r="E98" i="1"/>
  <c r="F43" i="2"/>
  <c r="F70" i="2" s="1"/>
  <c r="Q45" i="1"/>
  <c r="Q141" i="1" s="1"/>
  <c r="Q112" i="1"/>
  <c r="Q109" i="1"/>
  <c r="R42" i="1"/>
  <c r="R55" i="1" s="1"/>
  <c r="J63" i="1"/>
  <c r="R100" i="1"/>
  <c r="R61" i="1"/>
  <c r="R76" i="1"/>
  <c r="R155" i="1" s="1"/>
  <c r="H109" i="1"/>
  <c r="H112" i="1" s="1"/>
  <c r="Q91" i="1"/>
  <c r="Q165" i="1" s="1"/>
  <c r="R99" i="1"/>
  <c r="P50" i="1"/>
  <c r="P163" i="1" s="1"/>
  <c r="P164" i="1" s="1"/>
  <c r="P167" i="1" s="1"/>
  <c r="N50" i="1"/>
  <c r="N163" i="1" s="1"/>
  <c r="N164" i="1" s="1"/>
  <c r="N167" i="1" s="1"/>
  <c r="R47" i="1"/>
  <c r="R60" i="1" s="1"/>
  <c r="R111" i="1"/>
  <c r="K63" i="1"/>
  <c r="K98" i="1"/>
  <c r="M45" i="1"/>
  <c r="M54" i="1"/>
  <c r="I60" i="1"/>
  <c r="Q108" i="1"/>
  <c r="R108" i="1" s="1"/>
  <c r="R90" i="1"/>
  <c r="R154" i="1" s="1"/>
  <c r="K109" i="1"/>
  <c r="K112" i="1" s="1"/>
  <c r="Q97" i="1"/>
  <c r="Q98" i="1" s="1"/>
  <c r="N98" i="1"/>
  <c r="Q49" i="1"/>
  <c r="Q152" i="1" s="1"/>
  <c r="Q153" i="1" s="1"/>
  <c r="Q156" i="1" s="1"/>
  <c r="Q60" i="1"/>
  <c r="Q62" i="1" s="1"/>
  <c r="F50" i="1"/>
  <c r="F163" i="1" s="1"/>
  <c r="F164" i="1" s="1"/>
  <c r="F167" i="1" s="1"/>
  <c r="I36" i="1"/>
  <c r="I162" i="1" s="1"/>
  <c r="R54" i="1"/>
  <c r="Q130" i="1"/>
  <c r="Q131" i="1" s="1"/>
  <c r="Q134" i="1" s="1"/>
  <c r="N131" i="1"/>
  <c r="N134" i="1" s="1"/>
  <c r="G50" i="1"/>
  <c r="G163" i="1" s="1"/>
  <c r="G164" i="1" s="1"/>
  <c r="G167" i="1" s="1"/>
  <c r="M130" i="1"/>
  <c r="M131" i="1" s="1"/>
  <c r="M134" i="1" s="1"/>
  <c r="J131" i="1"/>
  <c r="J134" i="1" s="1"/>
  <c r="M119" i="1"/>
  <c r="M120" i="1" s="1"/>
  <c r="M123" i="1" s="1"/>
  <c r="M56" i="1"/>
  <c r="H63" i="1"/>
  <c r="H50" i="1"/>
  <c r="H163" i="1" s="1"/>
  <c r="H164" i="1" s="1"/>
  <c r="H167" i="1" s="1"/>
  <c r="R107" i="1"/>
  <c r="M98" i="1"/>
  <c r="M444" i="2" s="1"/>
  <c r="Q57" i="1"/>
  <c r="Q58" i="1" s="1"/>
  <c r="H41" i="2"/>
  <c r="H50" i="2"/>
  <c r="H77" i="2" s="1"/>
  <c r="H56" i="2"/>
  <c r="H83" i="2" s="1"/>
  <c r="F55" i="2"/>
  <c r="F82" i="2" s="1"/>
  <c r="R19" i="2"/>
  <c r="R479" i="2" s="1"/>
  <c r="H49" i="2"/>
  <c r="H76" i="2" s="1"/>
  <c r="H43" i="2"/>
  <c r="H55" i="2"/>
  <c r="H82" i="2" s="1"/>
  <c r="I9" i="2"/>
  <c r="F29" i="2"/>
  <c r="F481" i="2" s="1"/>
  <c r="I481" i="2" s="1"/>
  <c r="R481" i="2" s="1"/>
  <c r="E27" i="2"/>
  <c r="I7" i="2"/>
  <c r="R7" i="2" s="1"/>
  <c r="F56" i="2"/>
  <c r="F83" i="2" s="1"/>
  <c r="F44" i="2"/>
  <c r="F50" i="2"/>
  <c r="F77" i="2" s="1"/>
  <c r="C40" i="2"/>
  <c r="C52" i="2"/>
  <c r="C79" i="2" s="1"/>
  <c r="C58" i="2"/>
  <c r="C85" i="2" s="1"/>
  <c r="C46" i="2"/>
  <c r="C73" i="2" s="1"/>
  <c r="D45" i="2"/>
  <c r="D39" i="2"/>
  <c r="D66" i="2" s="1"/>
  <c r="D57" i="2"/>
  <c r="D51" i="2"/>
  <c r="E25" i="2"/>
  <c r="E56" i="2"/>
  <c r="G41" i="2"/>
  <c r="E44" i="2"/>
  <c r="F30" i="2"/>
  <c r="I10" i="2"/>
  <c r="E50" i="2"/>
  <c r="G55" i="2"/>
  <c r="G49" i="2"/>
  <c r="G43" i="2"/>
  <c r="E29" i="2"/>
  <c r="R8" i="2"/>
  <c r="E28" i="2"/>
  <c r="I22" i="2"/>
  <c r="R17" i="2"/>
  <c r="R22" i="2" s="1"/>
  <c r="D52" i="2"/>
  <c r="D79" i="2" s="1"/>
  <c r="D58" i="2"/>
  <c r="D85" i="2" s="1"/>
  <c r="D40" i="2"/>
  <c r="D67" i="2" s="1"/>
  <c r="D46" i="2"/>
  <c r="D73" i="2" s="1"/>
  <c r="C55" i="2"/>
  <c r="C82" i="2" s="1"/>
  <c r="E82" i="2" s="1"/>
  <c r="C49" i="2"/>
  <c r="C76" i="2" s="1"/>
  <c r="C43" i="2"/>
  <c r="C70" i="2" s="1"/>
  <c r="R110" i="1"/>
  <c r="I91" i="1"/>
  <c r="I165" i="1" s="1"/>
  <c r="R121" i="1"/>
  <c r="G63" i="1"/>
  <c r="J112" i="1"/>
  <c r="F58" i="1"/>
  <c r="F63" i="1" s="1"/>
  <c r="I45" i="1"/>
  <c r="I141" i="1" s="1"/>
  <c r="I142" i="1" s="1"/>
  <c r="I145" i="1" s="1"/>
  <c r="I97" i="1"/>
  <c r="F112" i="1"/>
  <c r="I56" i="1"/>
  <c r="I58" i="1" s="1"/>
  <c r="R43" i="1"/>
  <c r="I49" i="1"/>
  <c r="I152" i="1" s="1"/>
  <c r="Q142" i="1" l="1"/>
  <c r="M527" i="2"/>
  <c r="O526" i="2"/>
  <c r="O527" i="2" s="1"/>
  <c r="Q527" i="2" s="1"/>
  <c r="O494" i="2"/>
  <c r="Q493" i="2"/>
  <c r="M494" i="2"/>
  <c r="M526" i="2"/>
  <c r="Q494" i="2"/>
  <c r="Q526" i="2"/>
  <c r="I167" i="1"/>
  <c r="F526" i="2"/>
  <c r="I493" i="2"/>
  <c r="F494" i="2"/>
  <c r="H526" i="2"/>
  <c r="H527" i="2" s="1"/>
  <c r="H494" i="2"/>
  <c r="C526" i="2"/>
  <c r="C527" i="2" s="1"/>
  <c r="C494" i="2"/>
  <c r="D526" i="2"/>
  <c r="D527" i="2" s="1"/>
  <c r="D494" i="2"/>
  <c r="I30" i="2"/>
  <c r="I495" i="2"/>
  <c r="I29" i="2"/>
  <c r="I478" i="2"/>
  <c r="R24" i="2"/>
  <c r="F448" i="2"/>
  <c r="R28" i="2"/>
  <c r="N403" i="2"/>
  <c r="P403" i="2"/>
  <c r="P404" i="2" s="1"/>
  <c r="L403" i="2"/>
  <c r="L404" i="2" s="1"/>
  <c r="J403" i="2"/>
  <c r="H403" i="2"/>
  <c r="H404" i="2" s="1"/>
  <c r="G403" i="2"/>
  <c r="G404" i="2" s="1"/>
  <c r="F403" i="2"/>
  <c r="B403" i="2"/>
  <c r="C403" i="2"/>
  <c r="C404" i="2" s="1"/>
  <c r="D403" i="2"/>
  <c r="D404" i="2" s="1"/>
  <c r="N101" i="1"/>
  <c r="N444" i="2"/>
  <c r="Q101" i="1"/>
  <c r="Q444" i="2"/>
  <c r="K101" i="1"/>
  <c r="M101" i="1" s="1"/>
  <c r="K444" i="2"/>
  <c r="E101" i="1"/>
  <c r="E444" i="2"/>
  <c r="K349" i="2"/>
  <c r="M50" i="1"/>
  <c r="M163" i="1" s="1"/>
  <c r="M141" i="1"/>
  <c r="I153" i="1"/>
  <c r="I156" i="1" s="1"/>
  <c r="M164" i="1"/>
  <c r="M167" i="1" s="1"/>
  <c r="Q145" i="1"/>
  <c r="P349" i="2"/>
  <c r="Q349" i="2"/>
  <c r="I296" i="2"/>
  <c r="C300" i="2"/>
  <c r="M142" i="1"/>
  <c r="J349" i="2"/>
  <c r="E359" i="2"/>
  <c r="F359" i="2" s="1"/>
  <c r="E358" i="2"/>
  <c r="F358" i="2" s="1"/>
  <c r="B381" i="2" s="1"/>
  <c r="B382" i="2" s="1"/>
  <c r="L349" i="2"/>
  <c r="O349" i="2"/>
  <c r="D312" i="2"/>
  <c r="D313" i="2" s="1"/>
  <c r="C336" i="2"/>
  <c r="C337" i="2" s="1"/>
  <c r="F357" i="2"/>
  <c r="F360" i="2"/>
  <c r="I309" i="2"/>
  <c r="R309" i="2" s="1"/>
  <c r="C361" i="2"/>
  <c r="H324" i="2"/>
  <c r="H325" i="2" s="1"/>
  <c r="H312" i="2"/>
  <c r="H347" i="2" s="1"/>
  <c r="E296" i="2"/>
  <c r="E310" i="2"/>
  <c r="I321" i="2"/>
  <c r="R321" i="2" s="1"/>
  <c r="D301" i="2"/>
  <c r="D346" i="2"/>
  <c r="F299" i="2"/>
  <c r="I299" i="2" s="1"/>
  <c r="F323" i="2"/>
  <c r="I323" i="2" s="1"/>
  <c r="F311" i="2"/>
  <c r="I311" i="2" s="1"/>
  <c r="F335" i="2"/>
  <c r="I335" i="2" s="1"/>
  <c r="I297" i="2"/>
  <c r="R297" i="2" s="1"/>
  <c r="H300" i="2"/>
  <c r="D336" i="2"/>
  <c r="F298" i="2"/>
  <c r="I298" i="2" s="1"/>
  <c r="R298" i="2" s="1"/>
  <c r="F334" i="2"/>
  <c r="I334" i="2" s="1"/>
  <c r="R334" i="2" s="1"/>
  <c r="F322" i="2"/>
  <c r="I322" i="2" s="1"/>
  <c r="R322" i="2" s="1"/>
  <c r="F310" i="2"/>
  <c r="I310" i="2" s="1"/>
  <c r="G346" i="2"/>
  <c r="G349" i="2"/>
  <c r="I332" i="2"/>
  <c r="R332" i="2" s="1"/>
  <c r="D324" i="2"/>
  <c r="I308" i="2"/>
  <c r="C312" i="2"/>
  <c r="E308" i="2"/>
  <c r="G313" i="2"/>
  <c r="G347" i="2"/>
  <c r="H336" i="2"/>
  <c r="I333" i="2"/>
  <c r="R333" i="2" s="1"/>
  <c r="D361" i="2"/>
  <c r="I320" i="2"/>
  <c r="C324" i="2"/>
  <c r="E320" i="2"/>
  <c r="G348" i="2"/>
  <c r="G325" i="2"/>
  <c r="B361" i="2"/>
  <c r="C220" i="2"/>
  <c r="C226" i="2"/>
  <c r="E178" i="2"/>
  <c r="E192" i="2"/>
  <c r="D238" i="2"/>
  <c r="E236" i="2"/>
  <c r="D232" i="2"/>
  <c r="E230" i="2"/>
  <c r="D180" i="2"/>
  <c r="D181" i="2" s="1"/>
  <c r="I223" i="2"/>
  <c r="R223" i="2" s="1"/>
  <c r="D194" i="2"/>
  <c r="D195" i="2" s="1"/>
  <c r="F193" i="2"/>
  <c r="F179" i="2"/>
  <c r="F192" i="2"/>
  <c r="F178" i="2"/>
  <c r="H220" i="2"/>
  <c r="I217" i="2"/>
  <c r="R217" i="2" s="1"/>
  <c r="I176" i="2"/>
  <c r="R176" i="2" s="1"/>
  <c r="F228" i="2"/>
  <c r="I190" i="2"/>
  <c r="R190" i="2" s="1"/>
  <c r="R234" i="2" s="1"/>
  <c r="F234" i="2"/>
  <c r="C180" i="2"/>
  <c r="C228" i="2"/>
  <c r="C234" i="2"/>
  <c r="C194" i="2"/>
  <c r="G228" i="2"/>
  <c r="G232" i="2" s="1"/>
  <c r="G180" i="2"/>
  <c r="G181" i="2" s="1"/>
  <c r="G194" i="2"/>
  <c r="G195" i="2" s="1"/>
  <c r="G234" i="2"/>
  <c r="G238" i="2" s="1"/>
  <c r="I177" i="2"/>
  <c r="R177" i="2" s="1"/>
  <c r="F229" i="2"/>
  <c r="I229" i="2" s="1"/>
  <c r="R229" i="2" s="1"/>
  <c r="F235" i="2"/>
  <c r="I235" i="2" s="1"/>
  <c r="I191" i="2"/>
  <c r="R191" i="2" s="1"/>
  <c r="R235" i="2" s="1"/>
  <c r="H180" i="2"/>
  <c r="H181" i="2" s="1"/>
  <c r="H228" i="2"/>
  <c r="H232" i="2" s="1"/>
  <c r="H194" i="2"/>
  <c r="H195" i="2" s="1"/>
  <c r="H234" i="2"/>
  <c r="H238" i="2" s="1"/>
  <c r="E150" i="2"/>
  <c r="D218" i="2"/>
  <c r="E164" i="2"/>
  <c r="D224" i="2"/>
  <c r="H226" i="2"/>
  <c r="G152" i="2"/>
  <c r="G216" i="2"/>
  <c r="E222" i="2"/>
  <c r="G166" i="2"/>
  <c r="G167" i="2" s="1"/>
  <c r="G222" i="2"/>
  <c r="G226" i="2" s="1"/>
  <c r="E216" i="2"/>
  <c r="C152" i="2"/>
  <c r="H152" i="2"/>
  <c r="I149" i="2"/>
  <c r="R149" i="2" s="1"/>
  <c r="E162" i="2"/>
  <c r="C166" i="2"/>
  <c r="C167" i="2" s="1"/>
  <c r="D152" i="2"/>
  <c r="I163" i="2"/>
  <c r="R163" i="2" s="1"/>
  <c r="F151" i="2"/>
  <c r="F165" i="2"/>
  <c r="H166" i="2"/>
  <c r="H167" i="2" s="1"/>
  <c r="D166" i="2"/>
  <c r="D167" i="2" s="1"/>
  <c r="E148" i="2"/>
  <c r="I148" i="2"/>
  <c r="F150" i="2"/>
  <c r="F164" i="2"/>
  <c r="I162" i="2"/>
  <c r="N124" i="2"/>
  <c r="N125" i="2" s="1"/>
  <c r="M113" i="2"/>
  <c r="F97" i="2"/>
  <c r="G97" i="2"/>
  <c r="M106" i="2"/>
  <c r="J109" i="2"/>
  <c r="Q111" i="2"/>
  <c r="N114" i="2"/>
  <c r="N130" i="2" s="1"/>
  <c r="L132" i="2"/>
  <c r="Q101" i="2"/>
  <c r="N127" i="2"/>
  <c r="M108" i="2"/>
  <c r="Q106" i="2"/>
  <c r="O109" i="2"/>
  <c r="K99" i="2"/>
  <c r="M96" i="2"/>
  <c r="J122" i="2"/>
  <c r="Q96" i="2"/>
  <c r="N99" i="2"/>
  <c r="I83" i="2"/>
  <c r="R83" i="2" s="1"/>
  <c r="C74" i="2"/>
  <c r="H86" i="2"/>
  <c r="I77" i="2"/>
  <c r="R77" i="2" s="1"/>
  <c r="C86" i="2"/>
  <c r="E70" i="2"/>
  <c r="C80" i="2"/>
  <c r="E51" i="2"/>
  <c r="D78" i="2"/>
  <c r="H47" i="2"/>
  <c r="H70" i="2"/>
  <c r="H74" i="2" s="1"/>
  <c r="H80" i="2"/>
  <c r="G53" i="2"/>
  <c r="F107" i="2" s="1"/>
  <c r="G76" i="2"/>
  <c r="G59" i="2"/>
  <c r="G82" i="2"/>
  <c r="G86" i="2" s="1"/>
  <c r="E45" i="2"/>
  <c r="D72" i="2"/>
  <c r="G47" i="2"/>
  <c r="G70" i="2"/>
  <c r="G74" i="2" s="1"/>
  <c r="E57" i="2"/>
  <c r="D84" i="2"/>
  <c r="I44" i="2"/>
  <c r="F71" i="2"/>
  <c r="I71" i="2" s="1"/>
  <c r="R71" i="2" s="1"/>
  <c r="E76" i="2"/>
  <c r="I62" i="1"/>
  <c r="E66" i="2"/>
  <c r="D68" i="2"/>
  <c r="I56" i="2"/>
  <c r="Q50" i="1"/>
  <c r="Q163" i="1" s="1"/>
  <c r="Q164" i="1" s="1"/>
  <c r="Q167" i="1" s="1"/>
  <c r="R49" i="1"/>
  <c r="M58" i="1"/>
  <c r="M63" i="1" s="1"/>
  <c r="M112" i="1"/>
  <c r="I109" i="1"/>
  <c r="M109" i="1"/>
  <c r="I112" i="1"/>
  <c r="H53" i="2"/>
  <c r="Q63" i="1"/>
  <c r="I50" i="1"/>
  <c r="I163" i="1" s="1"/>
  <c r="I164" i="1" s="1"/>
  <c r="R97" i="1"/>
  <c r="I27" i="2"/>
  <c r="R27" i="2" s="1"/>
  <c r="C41" i="2"/>
  <c r="B97" i="2" s="1"/>
  <c r="C67" i="2"/>
  <c r="I49" i="2"/>
  <c r="I50" i="2"/>
  <c r="R50" i="2" s="1"/>
  <c r="H59" i="2"/>
  <c r="R9" i="2"/>
  <c r="R478" i="2" s="1"/>
  <c r="R10" i="2"/>
  <c r="R495" i="2" s="1"/>
  <c r="R29" i="2"/>
  <c r="R44" i="2"/>
  <c r="F52" i="2"/>
  <c r="F58" i="2"/>
  <c r="F40" i="2"/>
  <c r="F67" i="2" s="1"/>
  <c r="I67" i="2" s="1"/>
  <c r="F46" i="2"/>
  <c r="F51" i="2"/>
  <c r="F57" i="2"/>
  <c r="F84" i="2" s="1"/>
  <c r="I84" i="2" s="1"/>
  <c r="F39" i="2"/>
  <c r="F66" i="2" s="1"/>
  <c r="F45" i="2"/>
  <c r="I45" i="2" s="1"/>
  <c r="D53" i="2"/>
  <c r="D41" i="2"/>
  <c r="E39" i="2"/>
  <c r="D59" i="2"/>
  <c r="D47" i="2"/>
  <c r="C47" i="2"/>
  <c r="B102" i="2" s="1"/>
  <c r="E43" i="2"/>
  <c r="C53" i="2"/>
  <c r="E49" i="2"/>
  <c r="I43" i="2"/>
  <c r="I55" i="2"/>
  <c r="R56" i="2"/>
  <c r="C59" i="2"/>
  <c r="E55" i="2"/>
  <c r="I63" i="1"/>
  <c r="R56" i="1"/>
  <c r="R119" i="1"/>
  <c r="R120" i="1" s="1"/>
  <c r="R123" i="1" s="1"/>
  <c r="I98" i="1"/>
  <c r="I444" i="2" s="1"/>
  <c r="I494" i="2" l="1"/>
  <c r="I526" i="2"/>
  <c r="F527" i="2"/>
  <c r="I527" i="2" s="1"/>
  <c r="E403" i="2"/>
  <c r="B404" i="2"/>
  <c r="I403" i="2"/>
  <c r="F404" i="2"/>
  <c r="I404" i="2"/>
  <c r="K403" i="2"/>
  <c r="J404" i="2"/>
  <c r="O403" i="2"/>
  <c r="O404" i="2" s="1"/>
  <c r="Q403" i="2"/>
  <c r="N404" i="2"/>
  <c r="C392" i="2"/>
  <c r="C393" i="2" s="1"/>
  <c r="G393" i="2" s="1"/>
  <c r="K393" i="2" s="1"/>
  <c r="O393" i="2" s="1"/>
  <c r="D392" i="2"/>
  <c r="D393" i="2" s="1"/>
  <c r="H393" i="2" s="1"/>
  <c r="L393" i="2" s="1"/>
  <c r="P393" i="2" s="1"/>
  <c r="B392" i="2"/>
  <c r="G392" i="2"/>
  <c r="K392" i="2" s="1"/>
  <c r="O392" i="2" s="1"/>
  <c r="H392" i="2"/>
  <c r="L392" i="2" s="1"/>
  <c r="P392" i="2" s="1"/>
  <c r="F392" i="2"/>
  <c r="C301" i="2"/>
  <c r="R62" i="1"/>
  <c r="R152" i="1"/>
  <c r="R153" i="1" s="1"/>
  <c r="R156" i="1" s="1"/>
  <c r="C346" i="2"/>
  <c r="R112" i="1"/>
  <c r="R296" i="2"/>
  <c r="E361" i="2"/>
  <c r="F361" i="2" s="1"/>
  <c r="B370" i="2"/>
  <c r="B371" i="2" s="1"/>
  <c r="D347" i="2"/>
  <c r="C349" i="2"/>
  <c r="H381" i="2"/>
  <c r="H382" i="2" s="1"/>
  <c r="P381" i="2"/>
  <c r="P382" i="2" s="1"/>
  <c r="J381" i="2"/>
  <c r="K381" i="2"/>
  <c r="K382" i="2" s="1"/>
  <c r="C381" i="2"/>
  <c r="C382" i="2" s="1"/>
  <c r="L381" i="2"/>
  <c r="L382" i="2" s="1"/>
  <c r="D381" i="2"/>
  <c r="D382" i="2" s="1"/>
  <c r="F381" i="2"/>
  <c r="N381" i="2"/>
  <c r="G381" i="2"/>
  <c r="G382" i="2" s="1"/>
  <c r="O381" i="2"/>
  <c r="O382" i="2" s="1"/>
  <c r="H313" i="2"/>
  <c r="H348" i="2"/>
  <c r="L370" i="2"/>
  <c r="L371" i="2" s="1"/>
  <c r="C370" i="2"/>
  <c r="C371" i="2" s="1"/>
  <c r="G370" i="2"/>
  <c r="G371" i="2" s="1"/>
  <c r="K370" i="2"/>
  <c r="K371" i="2" s="1"/>
  <c r="H370" i="2"/>
  <c r="J370" i="2"/>
  <c r="P370" i="2"/>
  <c r="O370" i="2"/>
  <c r="O371" i="2" s="1"/>
  <c r="F370" i="2"/>
  <c r="F371" i="2" s="1"/>
  <c r="N370" i="2"/>
  <c r="N371" i="2" s="1"/>
  <c r="D370" i="2"/>
  <c r="R320" i="2"/>
  <c r="F312" i="2"/>
  <c r="I312" i="2" s="1"/>
  <c r="I347" i="2" s="1"/>
  <c r="R308" i="2"/>
  <c r="F300" i="2"/>
  <c r="F301" i="2" s="1"/>
  <c r="R310" i="2"/>
  <c r="C325" i="2"/>
  <c r="C348" i="2"/>
  <c r="F324" i="2"/>
  <c r="D349" i="2"/>
  <c r="D337" i="2"/>
  <c r="D325" i="2"/>
  <c r="D348" i="2"/>
  <c r="F336" i="2"/>
  <c r="C347" i="2"/>
  <c r="C313" i="2"/>
  <c r="H301" i="2"/>
  <c r="H346" i="2"/>
  <c r="I300" i="2"/>
  <c r="I346" i="2" s="1"/>
  <c r="H349" i="2"/>
  <c r="H337" i="2"/>
  <c r="F180" i="2"/>
  <c r="F181" i="2" s="1"/>
  <c r="I181" i="2" s="1"/>
  <c r="F194" i="2"/>
  <c r="I194" i="2" s="1"/>
  <c r="D153" i="2"/>
  <c r="D196" i="2"/>
  <c r="D198" i="2" s="1"/>
  <c r="H153" i="2"/>
  <c r="H196" i="2"/>
  <c r="H198" i="2" s="1"/>
  <c r="C153" i="2"/>
  <c r="C196" i="2"/>
  <c r="C198" i="2" s="1"/>
  <c r="G220" i="2"/>
  <c r="G239" i="2" s="1"/>
  <c r="I216" i="2"/>
  <c r="R216" i="2" s="1"/>
  <c r="G153" i="2"/>
  <c r="G196" i="2"/>
  <c r="G198" i="2" s="1"/>
  <c r="H239" i="2"/>
  <c r="C195" i="2"/>
  <c r="C238" i="2"/>
  <c r="E234" i="2"/>
  <c r="C232" i="2"/>
  <c r="E228" i="2"/>
  <c r="C181" i="2"/>
  <c r="I234" i="2"/>
  <c r="I228" i="2"/>
  <c r="I178" i="2"/>
  <c r="R178" i="2" s="1"/>
  <c r="F230" i="2"/>
  <c r="F236" i="2"/>
  <c r="I192" i="2"/>
  <c r="R192" i="2" s="1"/>
  <c r="R236" i="2" s="1"/>
  <c r="I179" i="2"/>
  <c r="F231" i="2"/>
  <c r="I231" i="2" s="1"/>
  <c r="I193" i="2"/>
  <c r="F237" i="2"/>
  <c r="I237" i="2" s="1"/>
  <c r="I222" i="2"/>
  <c r="I150" i="2"/>
  <c r="R150" i="2" s="1"/>
  <c r="F218" i="2"/>
  <c r="I165" i="2"/>
  <c r="F225" i="2"/>
  <c r="I225" i="2" s="1"/>
  <c r="E224" i="2"/>
  <c r="D226" i="2"/>
  <c r="E218" i="2"/>
  <c r="D220" i="2"/>
  <c r="I164" i="2"/>
  <c r="R164" i="2" s="1"/>
  <c r="F224" i="2"/>
  <c r="I151" i="2"/>
  <c r="F219" i="2"/>
  <c r="I219" i="2" s="1"/>
  <c r="F166" i="2"/>
  <c r="F167" i="2" s="1"/>
  <c r="R148" i="2"/>
  <c r="F152" i="2"/>
  <c r="R162" i="2"/>
  <c r="G112" i="2"/>
  <c r="G107" i="2"/>
  <c r="I107" i="2" s="1"/>
  <c r="F102" i="2"/>
  <c r="F112" i="2"/>
  <c r="G106" i="2"/>
  <c r="F108" i="2"/>
  <c r="G102" i="2"/>
  <c r="N121" i="2"/>
  <c r="K121" i="2"/>
  <c r="M99" i="2"/>
  <c r="O127" i="2"/>
  <c r="O128" i="2" s="1"/>
  <c r="O132" i="2" s="1"/>
  <c r="N128" i="2"/>
  <c r="N131" i="2"/>
  <c r="J127" i="2"/>
  <c r="M109" i="2"/>
  <c r="G98" i="2"/>
  <c r="H96" i="2"/>
  <c r="H99" i="2" s="1"/>
  <c r="F98" i="2"/>
  <c r="G96" i="2"/>
  <c r="G99" i="2" s="1"/>
  <c r="G121" i="2" s="1"/>
  <c r="G122" i="2" s="1"/>
  <c r="I97" i="2"/>
  <c r="I98" i="2" s="1"/>
  <c r="F86" i="2"/>
  <c r="I86" i="2" s="1"/>
  <c r="R45" i="2"/>
  <c r="I70" i="2"/>
  <c r="R70" i="2" s="1"/>
  <c r="C102" i="2"/>
  <c r="F68" i="2"/>
  <c r="I66" i="2"/>
  <c r="R66" i="2" s="1"/>
  <c r="I46" i="2"/>
  <c r="F73" i="2"/>
  <c r="I73" i="2" s="1"/>
  <c r="G80" i="2"/>
  <c r="I76" i="2"/>
  <c r="R76" i="2" s="1"/>
  <c r="B112" i="2"/>
  <c r="C112" i="2"/>
  <c r="I51" i="2"/>
  <c r="R51" i="2" s="1"/>
  <c r="F78" i="2"/>
  <c r="I82" i="2"/>
  <c r="R82" i="2" s="1"/>
  <c r="E84" i="2"/>
  <c r="R84" i="2" s="1"/>
  <c r="D86" i="2"/>
  <c r="B107" i="2"/>
  <c r="C97" i="2"/>
  <c r="D74" i="2"/>
  <c r="E72" i="2"/>
  <c r="R72" i="2" s="1"/>
  <c r="C107" i="2"/>
  <c r="I58" i="2"/>
  <c r="F85" i="2"/>
  <c r="I85" i="2" s="1"/>
  <c r="E78" i="2"/>
  <c r="D80" i="2"/>
  <c r="I52" i="2"/>
  <c r="F79" i="2"/>
  <c r="I79" i="2" s="1"/>
  <c r="C68" i="2"/>
  <c r="R109" i="1"/>
  <c r="R49" i="2"/>
  <c r="I40" i="2"/>
  <c r="F47" i="2"/>
  <c r="R55" i="2"/>
  <c r="R43" i="2"/>
  <c r="F41" i="2"/>
  <c r="I39" i="2"/>
  <c r="R39" i="2" s="1"/>
  <c r="F53" i="2"/>
  <c r="I57" i="2"/>
  <c r="R57" i="2" s="1"/>
  <c r="F59" i="2"/>
  <c r="I101" i="1"/>
  <c r="R101" i="1" s="1"/>
  <c r="R98" i="1"/>
  <c r="R444" i="2" s="1"/>
  <c r="J498" i="2" l="1"/>
  <c r="K498" i="2"/>
  <c r="L498" i="2"/>
  <c r="N498" i="2"/>
  <c r="O498" i="2"/>
  <c r="P498" i="2"/>
  <c r="H498" i="2"/>
  <c r="H531" i="2" s="1"/>
  <c r="G498" i="2"/>
  <c r="G531" i="2" s="1"/>
  <c r="D498" i="2"/>
  <c r="D531" i="2" s="1"/>
  <c r="F498" i="2"/>
  <c r="Q404" i="2"/>
  <c r="K404" i="2"/>
  <c r="M403" i="2"/>
  <c r="M404" i="2" s="1"/>
  <c r="E404" i="2"/>
  <c r="R404" i="2" s="1"/>
  <c r="R403" i="2"/>
  <c r="J392" i="2"/>
  <c r="N392" i="2" s="1"/>
  <c r="I392" i="2"/>
  <c r="M392" i="2" s="1"/>
  <c r="Q392" i="2" s="1"/>
  <c r="E392" i="2"/>
  <c r="B393" i="2"/>
  <c r="I381" i="2"/>
  <c r="I382" i="2" s="1"/>
  <c r="F382" i="2"/>
  <c r="M381" i="2"/>
  <c r="M382" i="2" s="1"/>
  <c r="J382" i="2"/>
  <c r="Q381" i="2"/>
  <c r="Q382" i="2" s="1"/>
  <c r="N382" i="2"/>
  <c r="E370" i="2"/>
  <c r="E371" i="2" s="1"/>
  <c r="F347" i="2"/>
  <c r="F346" i="2"/>
  <c r="E381" i="2"/>
  <c r="F313" i="2"/>
  <c r="I313" i="2"/>
  <c r="D371" i="2"/>
  <c r="M370" i="2"/>
  <c r="M371" i="2" s="1"/>
  <c r="J371" i="2"/>
  <c r="I370" i="2"/>
  <c r="I371" i="2" s="1"/>
  <c r="H371" i="2"/>
  <c r="Q370" i="2"/>
  <c r="P371" i="2"/>
  <c r="I301" i="2"/>
  <c r="I180" i="2"/>
  <c r="I336" i="2"/>
  <c r="F337" i="2"/>
  <c r="I337" i="2" s="1"/>
  <c r="I324" i="2"/>
  <c r="I348" i="2" s="1"/>
  <c r="F325" i="2"/>
  <c r="I325" i="2" s="1"/>
  <c r="F348" i="2"/>
  <c r="F196" i="2"/>
  <c r="I196" i="2" s="1"/>
  <c r="F195" i="2"/>
  <c r="I195" i="2" s="1"/>
  <c r="I166" i="2"/>
  <c r="D239" i="2"/>
  <c r="I236" i="2"/>
  <c r="F238" i="2"/>
  <c r="I238" i="2" s="1"/>
  <c r="I230" i="2"/>
  <c r="R230" i="2" s="1"/>
  <c r="F232" i="2"/>
  <c r="I232" i="2" s="1"/>
  <c r="R228" i="2"/>
  <c r="C239" i="2"/>
  <c r="I224" i="2"/>
  <c r="R224" i="2" s="1"/>
  <c r="F226" i="2"/>
  <c r="I218" i="2"/>
  <c r="R218" i="2" s="1"/>
  <c r="F220" i="2"/>
  <c r="R222" i="2"/>
  <c r="F153" i="2"/>
  <c r="I153" i="2" s="1"/>
  <c r="I152" i="2"/>
  <c r="H121" i="2"/>
  <c r="H122" i="2" s="1"/>
  <c r="M127" i="2"/>
  <c r="J128" i="2"/>
  <c r="M128" i="2" s="1"/>
  <c r="K122" i="2"/>
  <c r="M121" i="2"/>
  <c r="N122" i="2"/>
  <c r="N132" i="2" s="1"/>
  <c r="H101" i="2"/>
  <c r="G103" i="2"/>
  <c r="G111" i="2"/>
  <c r="G114" i="2" s="1"/>
  <c r="G130" i="2" s="1"/>
  <c r="G131" i="2" s="1"/>
  <c r="F113" i="2"/>
  <c r="G101" i="2"/>
  <c r="G104" i="2" s="1"/>
  <c r="F103" i="2"/>
  <c r="H106" i="2"/>
  <c r="H109" i="2" s="1"/>
  <c r="H127" i="2" s="1"/>
  <c r="H128" i="2" s="1"/>
  <c r="G108" i="2"/>
  <c r="I108" i="2" s="1"/>
  <c r="G109" i="2"/>
  <c r="G127" i="2" s="1"/>
  <c r="G128" i="2" s="1"/>
  <c r="H111" i="2"/>
  <c r="G113" i="2"/>
  <c r="F74" i="2"/>
  <c r="I74" i="2" s="1"/>
  <c r="I47" i="2"/>
  <c r="H102" i="2" s="1"/>
  <c r="D102" i="2"/>
  <c r="B98" i="2"/>
  <c r="C96" i="2"/>
  <c r="C98" i="2"/>
  <c r="D96" i="2"/>
  <c r="I41" i="2"/>
  <c r="D97" i="2"/>
  <c r="F96" i="2" s="1"/>
  <c r="I78" i="2"/>
  <c r="R78" i="2" s="1"/>
  <c r="F80" i="2"/>
  <c r="I80" i="2" s="1"/>
  <c r="I59" i="2"/>
  <c r="H112" i="2" s="1"/>
  <c r="D112" i="2"/>
  <c r="C106" i="2"/>
  <c r="B108" i="2"/>
  <c r="D101" i="2"/>
  <c r="C103" i="2"/>
  <c r="D106" i="2"/>
  <c r="C108" i="2"/>
  <c r="C113" i="2"/>
  <c r="D111" i="2"/>
  <c r="I53" i="2"/>
  <c r="D107" i="2"/>
  <c r="F106" i="2" s="1"/>
  <c r="B113" i="2"/>
  <c r="C111" i="2"/>
  <c r="C101" i="2"/>
  <c r="B103" i="2"/>
  <c r="I498" i="2" l="1"/>
  <c r="F531" i="2"/>
  <c r="Q498" i="2"/>
  <c r="M498" i="2"/>
  <c r="B528" i="2"/>
  <c r="F393" i="2"/>
  <c r="J393" i="2" s="1"/>
  <c r="N393" i="2" s="1"/>
  <c r="E393" i="2"/>
  <c r="I393" i="2" s="1"/>
  <c r="M393" i="2" s="1"/>
  <c r="Q393" i="2" s="1"/>
  <c r="R393" i="2" s="1"/>
  <c r="R392" i="2"/>
  <c r="R381" i="2"/>
  <c r="R382" i="2" s="1"/>
  <c r="E382" i="2"/>
  <c r="R370" i="2"/>
  <c r="Q371" i="2"/>
  <c r="R371" i="2" s="1"/>
  <c r="I349" i="2"/>
  <c r="F198" i="2"/>
  <c r="I198" i="2" s="1"/>
  <c r="I220" i="2"/>
  <c r="F239" i="2"/>
  <c r="I226" i="2"/>
  <c r="F109" i="2"/>
  <c r="I106" i="2"/>
  <c r="E112" i="2"/>
  <c r="F111" i="2"/>
  <c r="J111" i="2"/>
  <c r="H113" i="2"/>
  <c r="I113" i="2" s="1"/>
  <c r="H114" i="2"/>
  <c r="H130" i="2" s="1"/>
  <c r="H131" i="2" s="1"/>
  <c r="I112" i="2"/>
  <c r="I96" i="2"/>
  <c r="F99" i="2"/>
  <c r="E102" i="2"/>
  <c r="F101" i="2"/>
  <c r="F104" i="2" s="1"/>
  <c r="F124" i="2" s="1"/>
  <c r="H103" i="2"/>
  <c r="J101" i="2"/>
  <c r="H104" i="2"/>
  <c r="H124" i="2" s="1"/>
  <c r="H125" i="2" s="1"/>
  <c r="I102" i="2"/>
  <c r="G124" i="2"/>
  <c r="G125" i="2" s="1"/>
  <c r="G132" i="2" s="1"/>
  <c r="K132" i="2"/>
  <c r="M122" i="2"/>
  <c r="E97" i="2"/>
  <c r="D108" i="2"/>
  <c r="D109" i="2"/>
  <c r="D127" i="2" s="1"/>
  <c r="D128" i="2" s="1"/>
  <c r="C114" i="2"/>
  <c r="C130" i="2" s="1"/>
  <c r="C109" i="2"/>
  <c r="C127" i="2" s="1"/>
  <c r="D113" i="2"/>
  <c r="E113" i="2" s="1"/>
  <c r="D114" i="2"/>
  <c r="D130" i="2" s="1"/>
  <c r="D131" i="2" s="1"/>
  <c r="D98" i="2"/>
  <c r="E98" i="2" s="1"/>
  <c r="D99" i="2"/>
  <c r="D121" i="2" s="1"/>
  <c r="D122" i="2" s="1"/>
  <c r="C104" i="2"/>
  <c r="C124" i="2" s="1"/>
  <c r="E107" i="2"/>
  <c r="D103" i="2"/>
  <c r="E103" i="2" s="1"/>
  <c r="D104" i="2"/>
  <c r="D124" i="2" s="1"/>
  <c r="D125" i="2" s="1"/>
  <c r="E108" i="2"/>
  <c r="C99" i="2"/>
  <c r="C121" i="2" s="1"/>
  <c r="F482" i="2" l="1"/>
  <c r="F515" i="2"/>
  <c r="D482" i="2"/>
  <c r="D515" i="2"/>
  <c r="H482" i="2"/>
  <c r="H515" i="2"/>
  <c r="B515" i="2"/>
  <c r="G482" i="2"/>
  <c r="G515" i="2"/>
  <c r="C482" i="2"/>
  <c r="C515" i="2"/>
  <c r="P482" i="2"/>
  <c r="P515" i="2"/>
  <c r="O482" i="2"/>
  <c r="O515" i="2"/>
  <c r="N482" i="2"/>
  <c r="Q482" i="2" s="1"/>
  <c r="N515" i="2"/>
  <c r="L482" i="2"/>
  <c r="L515" i="2"/>
  <c r="K482" i="2"/>
  <c r="K515" i="2"/>
  <c r="J482" i="2"/>
  <c r="M482" i="2" s="1"/>
  <c r="J515" i="2"/>
  <c r="B529" i="2"/>
  <c r="B449" i="2"/>
  <c r="B513" i="2"/>
  <c r="B514" i="2"/>
  <c r="I239" i="2"/>
  <c r="I101" i="2"/>
  <c r="I104" i="2"/>
  <c r="C122" i="2"/>
  <c r="C125" i="2"/>
  <c r="D132" i="2"/>
  <c r="C128" i="2"/>
  <c r="C131" i="2"/>
  <c r="I103" i="2"/>
  <c r="M101" i="2"/>
  <c r="J104" i="2"/>
  <c r="I124" i="2"/>
  <c r="F125" i="2"/>
  <c r="I125" i="2" s="1"/>
  <c r="F121" i="2"/>
  <c r="I99" i="2"/>
  <c r="H132" i="2"/>
  <c r="M111" i="2"/>
  <c r="J114" i="2"/>
  <c r="I111" i="2"/>
  <c r="F114" i="2"/>
  <c r="F127" i="2"/>
  <c r="I109" i="2"/>
  <c r="B516" i="2" l="1"/>
  <c r="E515" i="2"/>
  <c r="I515" i="2"/>
  <c r="E482" i="2"/>
  <c r="I482" i="2"/>
  <c r="C528" i="2"/>
  <c r="C512" i="2"/>
  <c r="I127" i="2"/>
  <c r="F128" i="2"/>
  <c r="I128" i="2" s="1"/>
  <c r="I114" i="2"/>
  <c r="F130" i="2"/>
  <c r="M114" i="2"/>
  <c r="J130" i="2"/>
  <c r="I121" i="2"/>
  <c r="F122" i="2"/>
  <c r="M104" i="2"/>
  <c r="J124" i="2"/>
  <c r="C132" i="2"/>
  <c r="R482" i="2" l="1"/>
  <c r="B540" i="2" s="1"/>
  <c r="C447" i="2"/>
  <c r="C449" i="2" s="1"/>
  <c r="C529" i="2"/>
  <c r="C513" i="2"/>
  <c r="C514" i="2"/>
  <c r="C530" i="2"/>
  <c r="C532" i="2" s="1"/>
  <c r="C497" i="2"/>
  <c r="M124" i="2"/>
  <c r="J125" i="2"/>
  <c r="I122" i="2"/>
  <c r="M130" i="2"/>
  <c r="J131" i="2"/>
  <c r="M131" i="2" s="1"/>
  <c r="I130" i="2"/>
  <c r="F131" i="2"/>
  <c r="C516" i="2" l="1"/>
  <c r="D528" i="2"/>
  <c r="E528" i="2" s="1"/>
  <c r="D512" i="2"/>
  <c r="E512" i="2" s="1"/>
  <c r="C499" i="2"/>
  <c r="C465" i="2"/>
  <c r="I131" i="2"/>
  <c r="F132" i="2"/>
  <c r="I132" i="2" s="1"/>
  <c r="M125" i="2"/>
  <c r="J132" i="2"/>
  <c r="M132" i="2" s="1"/>
  <c r="E447" i="2" l="1"/>
  <c r="E449" i="2" s="1"/>
  <c r="D447" i="2"/>
  <c r="D449" i="2" s="1"/>
  <c r="D529" i="2"/>
  <c r="E529" i="2" s="1"/>
  <c r="D513" i="2"/>
  <c r="E513" i="2" s="1"/>
  <c r="D514" i="2"/>
  <c r="D530" i="2"/>
  <c r="D497" i="2"/>
  <c r="D516" i="2" l="1"/>
  <c r="E516" i="2" s="1"/>
  <c r="E514" i="2"/>
  <c r="D532" i="2"/>
  <c r="F528" i="2"/>
  <c r="F512" i="2"/>
  <c r="D499" i="2"/>
  <c r="D465" i="2"/>
  <c r="E463" i="2"/>
  <c r="L347" i="2"/>
  <c r="F349" i="2"/>
  <c r="F447" i="2" l="1"/>
  <c r="F449" i="2" s="1"/>
  <c r="F529" i="2"/>
  <c r="F513" i="2"/>
  <c r="F514" i="2"/>
  <c r="F530" i="2"/>
  <c r="F497" i="2"/>
  <c r="F463" i="2"/>
  <c r="F465" i="2" s="1"/>
  <c r="F516" i="2" l="1"/>
  <c r="F532" i="2"/>
  <c r="G528" i="2"/>
  <c r="G512" i="2"/>
  <c r="F499" i="2"/>
  <c r="G447" i="2" l="1"/>
  <c r="G449" i="2" s="1"/>
  <c r="G529" i="2"/>
  <c r="G513" i="2"/>
  <c r="G514" i="2"/>
  <c r="G530" i="2"/>
  <c r="G497" i="2"/>
  <c r="I448" i="2"/>
  <c r="I531" i="2" s="1"/>
  <c r="G463" i="2"/>
  <c r="G465" i="2" s="1"/>
  <c r="G532" i="2" l="1"/>
  <c r="G516" i="2"/>
  <c r="H528" i="2"/>
  <c r="I528" i="2" s="1"/>
  <c r="H512" i="2"/>
  <c r="I512" i="2" s="1"/>
  <c r="R448" i="2"/>
  <c r="R515" i="2"/>
  <c r="G499" i="2"/>
  <c r="I447" i="2" l="1"/>
  <c r="I449" i="2" s="1"/>
  <c r="R449" i="2" s="1"/>
  <c r="H447" i="2"/>
  <c r="H449" i="2" s="1"/>
  <c r="H529" i="2"/>
  <c r="I529" i="2" s="1"/>
  <c r="H513" i="2"/>
  <c r="I513" i="2" s="1"/>
  <c r="H514" i="2"/>
  <c r="H530" i="2"/>
  <c r="H497" i="2"/>
  <c r="H463" i="2"/>
  <c r="H465" i="2" s="1"/>
  <c r="H532" i="2" l="1"/>
  <c r="I532" i="2" s="1"/>
  <c r="I530" i="2"/>
  <c r="H516" i="2"/>
  <c r="I516" i="2" s="1"/>
  <c r="I514" i="2"/>
  <c r="J528" i="2"/>
  <c r="J512" i="2"/>
  <c r="H499" i="2"/>
  <c r="I499" i="2" s="1"/>
  <c r="I497" i="2"/>
  <c r="I463" i="2"/>
  <c r="J497" i="2"/>
  <c r="J499" i="2" s="1"/>
  <c r="J447" i="2" l="1"/>
  <c r="J449" i="2" s="1"/>
  <c r="J529" i="2"/>
  <c r="J513" i="2"/>
  <c r="J514" i="2"/>
  <c r="J530" i="2"/>
  <c r="J463" i="2"/>
  <c r="J465" i="2" s="1"/>
  <c r="J532" i="2" l="1"/>
  <c r="J516" i="2"/>
  <c r="K528" i="2"/>
  <c r="K512" i="2"/>
  <c r="K447" i="2" l="1"/>
  <c r="K449" i="2" s="1"/>
  <c r="K513" i="2"/>
  <c r="K514" i="2"/>
  <c r="K530" i="2"/>
  <c r="K497" i="2"/>
  <c r="K463" i="2"/>
  <c r="K465" i="2" s="1"/>
  <c r="K532" i="2" l="1"/>
  <c r="K516" i="2"/>
  <c r="L528" i="2"/>
  <c r="M528" i="2" s="1"/>
  <c r="L512" i="2"/>
  <c r="M512" i="2" s="1"/>
  <c r="K499" i="2"/>
  <c r="M447" i="2" l="1"/>
  <c r="M449" i="2" s="1"/>
  <c r="L447" i="2"/>
  <c r="L449" i="2" s="1"/>
  <c r="L529" i="2"/>
  <c r="M529" i="2" s="1"/>
  <c r="L513" i="2"/>
  <c r="M513" i="2" s="1"/>
  <c r="L514" i="2"/>
  <c r="L530" i="2"/>
  <c r="L497" i="2"/>
  <c r="L463" i="2"/>
  <c r="L465" i="2" s="1"/>
  <c r="L532" i="2" l="1"/>
  <c r="M532" i="2" s="1"/>
  <c r="M530" i="2"/>
  <c r="L516" i="2"/>
  <c r="M516" i="2" s="1"/>
  <c r="M514" i="2"/>
  <c r="N528" i="2"/>
  <c r="N512" i="2"/>
  <c r="L499" i="2"/>
  <c r="M499" i="2" s="1"/>
  <c r="M497" i="2"/>
  <c r="M463" i="2"/>
  <c r="N463" i="2"/>
  <c r="N465" i="2" s="1"/>
  <c r="N447" i="2" l="1"/>
  <c r="N449" i="2" s="1"/>
  <c r="N513" i="2"/>
  <c r="N514" i="2"/>
  <c r="N529" i="2"/>
  <c r="N530" i="2" l="1"/>
  <c r="N532" i="2"/>
  <c r="N516" i="2"/>
  <c r="O512" i="2"/>
  <c r="N497" i="2"/>
  <c r="O528" i="2"/>
  <c r="O463" i="2"/>
  <c r="O465" i="2" s="1"/>
  <c r="O447" i="2" l="1"/>
  <c r="O449" i="2" s="1"/>
  <c r="O513" i="2"/>
  <c r="O514" i="2"/>
  <c r="O529" i="2"/>
  <c r="N499" i="2"/>
  <c r="O530" i="2" l="1"/>
  <c r="O532" i="2"/>
  <c r="O516" i="2"/>
  <c r="P512" i="2"/>
  <c r="Q512" i="2" s="1"/>
  <c r="R512" i="2" s="1"/>
  <c r="O497" i="2"/>
  <c r="P465" i="2"/>
  <c r="P447" i="2" l="1"/>
  <c r="P449" i="2" s="1"/>
  <c r="P513" i="2"/>
  <c r="Q513" i="2" s="1"/>
  <c r="R513" i="2" s="1"/>
  <c r="P528" i="2"/>
  <c r="Q528" i="2" s="1"/>
  <c r="R528" i="2" s="1"/>
  <c r="P514" i="2"/>
  <c r="O499" i="2"/>
  <c r="P516" i="2" l="1"/>
  <c r="Q516" i="2" s="1"/>
  <c r="R516" i="2" s="1"/>
  <c r="Q514" i="2"/>
  <c r="Q447" i="2"/>
  <c r="Q449" i="2" s="1"/>
  <c r="R447" i="2"/>
  <c r="Q463" i="2"/>
  <c r="B542" i="2" l="1"/>
  <c r="R514" i="2"/>
  <c r="R463" i="2"/>
  <c r="B544" i="2" l="1"/>
  <c r="B15" i="2"/>
  <c r="P20" i="2"/>
  <c r="Q20" i="2"/>
  <c r="Q25" i="2"/>
  <c r="B85" i="1"/>
  <c r="B132" i="1"/>
  <c r="E132" i="1" s="1"/>
  <c r="R132" i="1" s="1"/>
  <c r="B71" i="1"/>
  <c r="B72" i="1"/>
  <c r="B77" i="1" s="1"/>
  <c r="B166" i="1" s="1"/>
  <c r="B144" i="1"/>
  <c r="B30" i="1"/>
  <c r="B129" i="1"/>
  <c r="B492" i="2"/>
  <c r="E492" i="2"/>
  <c r="R492" i="2"/>
  <c r="E8" i="1"/>
  <c r="R8" i="1"/>
  <c r="B525" i="2" l="1"/>
  <c r="E30" i="1"/>
  <c r="B31" i="1"/>
  <c r="B44" i="1"/>
  <c r="E71" i="1"/>
  <c r="B133" i="1"/>
  <c r="E133" i="1" s="1"/>
  <c r="R133" i="1" s="1"/>
  <c r="E85" i="1"/>
  <c r="B86" i="1"/>
  <c r="R20" i="2"/>
  <c r="Q496" i="2"/>
  <c r="P496" i="2"/>
  <c r="P25" i="2"/>
  <c r="B30" i="2"/>
  <c r="E15" i="2"/>
  <c r="E30" i="2" l="1"/>
  <c r="R30" i="2" s="1"/>
  <c r="R15" i="2"/>
  <c r="B498" i="2"/>
  <c r="B193" i="2"/>
  <c r="B179" i="2"/>
  <c r="B165" i="2"/>
  <c r="B46" i="2"/>
  <c r="B58" i="2"/>
  <c r="B52" i="2"/>
  <c r="B40" i="2"/>
  <c r="B151" i="2"/>
  <c r="B323" i="2"/>
  <c r="B335" i="2"/>
  <c r="B311" i="2"/>
  <c r="B299" i="2"/>
  <c r="P497" i="2"/>
  <c r="P529" i="2"/>
  <c r="R496" i="2"/>
  <c r="R25" i="2"/>
  <c r="B91" i="1"/>
  <c r="B165" i="1" s="1"/>
  <c r="B143" i="1"/>
  <c r="R85" i="1"/>
  <c r="R86" i="1" s="1"/>
  <c r="E86" i="1"/>
  <c r="E72" i="1"/>
  <c r="R71" i="1"/>
  <c r="R72" i="1" s="1"/>
  <c r="R144" i="1" s="1"/>
  <c r="B130" i="1"/>
  <c r="E44" i="1"/>
  <c r="B45" i="1"/>
  <c r="B57" i="1"/>
  <c r="B140" i="1"/>
  <c r="B36" i="1"/>
  <c r="B162" i="1" s="1"/>
  <c r="E31" i="1"/>
  <c r="E129" i="1"/>
  <c r="R30" i="1"/>
  <c r="E525" i="2"/>
  <c r="R525" i="2" s="1"/>
  <c r="R129" i="1" l="1"/>
  <c r="R31" i="1"/>
  <c r="E36" i="1"/>
  <c r="E162" i="1" s="1"/>
  <c r="E140" i="1"/>
  <c r="E57" i="1"/>
  <c r="B58" i="1"/>
  <c r="B50" i="1"/>
  <c r="B163" i="1" s="1"/>
  <c r="B164" i="1" s="1"/>
  <c r="B167" i="1" s="1"/>
  <c r="B141" i="1"/>
  <c r="B142" i="1" s="1"/>
  <c r="B145" i="1" s="1"/>
  <c r="E145" i="1" s="1"/>
  <c r="R44" i="1"/>
  <c r="R57" i="1" s="1"/>
  <c r="R58" i="1" s="1"/>
  <c r="R63" i="1" s="1"/>
  <c r="E45" i="1"/>
  <c r="E130" i="1"/>
  <c r="B493" i="2"/>
  <c r="B131" i="1"/>
  <c r="B134" i="1" s="1"/>
  <c r="E77" i="1"/>
  <c r="E144" i="1"/>
  <c r="E91" i="1"/>
  <c r="E165" i="1" s="1"/>
  <c r="E143" i="1"/>
  <c r="R143" i="1"/>
  <c r="R91" i="1"/>
  <c r="R165" i="1" s="1"/>
  <c r="P530" i="2"/>
  <c r="Q529" i="2"/>
  <c r="R529" i="2" s="1"/>
  <c r="Q497" i="2"/>
  <c r="P499" i="2"/>
  <c r="Q499" i="2" s="1"/>
  <c r="B300" i="2"/>
  <c r="E299" i="2"/>
  <c r="R299" i="2" s="1"/>
  <c r="B312" i="2"/>
  <c r="E311" i="2"/>
  <c r="R311" i="2" s="1"/>
  <c r="B336" i="2"/>
  <c r="E335" i="2"/>
  <c r="R335" i="2" s="1"/>
  <c r="B324" i="2"/>
  <c r="E323" i="2"/>
  <c r="R323" i="2" s="1"/>
  <c r="B152" i="2"/>
  <c r="E151" i="2"/>
  <c r="R151" i="2" s="1"/>
  <c r="B219" i="2"/>
  <c r="B67" i="2"/>
  <c r="B41" i="2"/>
  <c r="E40" i="2"/>
  <c r="E52" i="2"/>
  <c r="R52" i="2" s="1"/>
  <c r="R53" i="2" s="1"/>
  <c r="B53" i="2"/>
  <c r="B79" i="2"/>
  <c r="E58" i="2"/>
  <c r="R58" i="2" s="1"/>
  <c r="R59" i="2" s="1"/>
  <c r="B59" i="2"/>
  <c r="B85" i="2"/>
  <c r="E46" i="2"/>
  <c r="R46" i="2" s="1"/>
  <c r="R47" i="2" s="1"/>
  <c r="B47" i="2"/>
  <c r="B73" i="2"/>
  <c r="B166" i="2"/>
  <c r="E165" i="2"/>
  <c r="R165" i="2" s="1"/>
  <c r="B225" i="2"/>
  <c r="B180" i="2"/>
  <c r="E179" i="2"/>
  <c r="R179" i="2" s="1"/>
  <c r="B231" i="2"/>
  <c r="E193" i="2"/>
  <c r="R193" i="2" s="1"/>
  <c r="R237" i="2" s="1"/>
  <c r="R238" i="2" s="1"/>
  <c r="B237" i="2"/>
  <c r="B194" i="2"/>
  <c r="E498" i="2"/>
  <c r="B531" i="2"/>
  <c r="R498" i="2" l="1"/>
  <c r="R531" i="2" s="1"/>
  <c r="E531" i="2"/>
  <c r="B195" i="2"/>
  <c r="E195" i="2" s="1"/>
  <c r="R195" i="2" s="1"/>
  <c r="E194" i="2"/>
  <c r="R194" i="2" s="1"/>
  <c r="B238" i="2"/>
  <c r="E238" i="2" s="1"/>
  <c r="E237" i="2"/>
  <c r="B232" i="2"/>
  <c r="E232" i="2" s="1"/>
  <c r="R232" i="2" s="1"/>
  <c r="E231" i="2"/>
  <c r="R231" i="2" s="1"/>
  <c r="E180" i="2"/>
  <c r="R180" i="2" s="1"/>
  <c r="B181" i="2"/>
  <c r="E181" i="2" s="1"/>
  <c r="R181" i="2" s="1"/>
  <c r="E225" i="2"/>
  <c r="B226" i="2"/>
  <c r="E166" i="2"/>
  <c r="R166" i="2" s="1"/>
  <c r="B167" i="2"/>
  <c r="B74" i="2"/>
  <c r="E74" i="2" s="1"/>
  <c r="R74" i="2" s="1"/>
  <c r="E73" i="2"/>
  <c r="R73" i="2" s="1"/>
  <c r="B101" i="2"/>
  <c r="E47" i="2"/>
  <c r="P102" i="2"/>
  <c r="B86" i="2"/>
  <c r="E86" i="2" s="1"/>
  <c r="R86" i="2" s="1"/>
  <c r="E85" i="2"/>
  <c r="R85" i="2" s="1"/>
  <c r="B111" i="2"/>
  <c r="E59" i="2"/>
  <c r="P112" i="2"/>
  <c r="B80" i="2"/>
  <c r="E80" i="2" s="1"/>
  <c r="R80" i="2" s="1"/>
  <c r="E79" i="2"/>
  <c r="R79" i="2" s="1"/>
  <c r="B106" i="2"/>
  <c r="E53" i="2"/>
  <c r="P107" i="2"/>
  <c r="B96" i="2"/>
  <c r="E41" i="2"/>
  <c r="R41" i="2" s="1"/>
  <c r="P97" i="2"/>
  <c r="E67" i="2"/>
  <c r="B68" i="2"/>
  <c r="E219" i="2"/>
  <c r="R219" i="2" s="1"/>
  <c r="R220" i="2" s="1"/>
  <c r="B220" i="2"/>
  <c r="B153" i="2"/>
  <c r="E153" i="2" s="1"/>
  <c r="R153" i="2" s="1"/>
  <c r="B196" i="2"/>
  <c r="E152" i="2"/>
  <c r="R152" i="2" s="1"/>
  <c r="B325" i="2"/>
  <c r="E325" i="2" s="1"/>
  <c r="R325" i="2" s="1"/>
  <c r="B348" i="2"/>
  <c r="E324" i="2"/>
  <c r="E336" i="2"/>
  <c r="B337" i="2"/>
  <c r="E337" i="2" s="1"/>
  <c r="R337" i="2" s="1"/>
  <c r="B349" i="2"/>
  <c r="B313" i="2"/>
  <c r="E313" i="2" s="1"/>
  <c r="R313" i="2" s="1"/>
  <c r="B347" i="2"/>
  <c r="E312" i="2"/>
  <c r="B301" i="2"/>
  <c r="E301" i="2" s="1"/>
  <c r="R301" i="2" s="1"/>
  <c r="B346" i="2"/>
  <c r="E300" i="2"/>
  <c r="Q530" i="2"/>
  <c r="P532" i="2"/>
  <c r="Q532" i="2" s="1"/>
  <c r="E166" i="1"/>
  <c r="R77" i="1"/>
  <c r="R166" i="1" s="1"/>
  <c r="B526" i="2"/>
  <c r="E493" i="2"/>
  <c r="R493" i="2" s="1"/>
  <c r="B494" i="2"/>
  <c r="R130" i="1"/>
  <c r="E131" i="1"/>
  <c r="E134" i="1" s="1"/>
  <c r="R45" i="1"/>
  <c r="E141" i="1"/>
  <c r="E50" i="1"/>
  <c r="E163" i="1" s="1"/>
  <c r="E58" i="1"/>
  <c r="E63" i="1" s="1"/>
  <c r="B63" i="1"/>
  <c r="E142" i="1"/>
  <c r="R142" i="1" s="1"/>
  <c r="R145" i="1" s="1"/>
  <c r="E164" i="1"/>
  <c r="E167" i="1" s="1"/>
  <c r="R167" i="1" s="1"/>
  <c r="R36" i="1"/>
  <c r="R162" i="1" s="1"/>
  <c r="R140" i="1"/>
  <c r="R131" i="1"/>
  <c r="R134" i="1" s="1"/>
  <c r="R50" i="1" l="1"/>
  <c r="R163" i="1" s="1"/>
  <c r="R164" i="1" s="1"/>
  <c r="R141" i="1"/>
  <c r="B497" i="2"/>
  <c r="E494" i="2"/>
  <c r="R494" i="2" s="1"/>
  <c r="E526" i="2"/>
  <c r="R526" i="2" s="1"/>
  <c r="B527" i="2"/>
  <c r="R300" i="2"/>
  <c r="R346" i="2" s="1"/>
  <c r="E346" i="2"/>
  <c r="E347" i="2"/>
  <c r="R312" i="2"/>
  <c r="R347" i="2" s="1"/>
  <c r="R336" i="2"/>
  <c r="R349" i="2" s="1"/>
  <c r="E349" i="2"/>
  <c r="R324" i="2"/>
  <c r="R348" i="2" s="1"/>
  <c r="E348" i="2"/>
  <c r="B198" i="2"/>
  <c r="E198" i="2" s="1"/>
  <c r="R198" i="2" s="1"/>
  <c r="E196" i="2"/>
  <c r="R196" i="2" s="1"/>
  <c r="E220" i="2"/>
  <c r="B239" i="2"/>
  <c r="E68" i="2"/>
  <c r="R67" i="2"/>
  <c r="P99" i="2"/>
  <c r="P98" i="2"/>
  <c r="Q97" i="2"/>
  <c r="E96" i="2"/>
  <c r="R96" i="2" s="1"/>
  <c r="B99" i="2"/>
  <c r="Q107" i="2"/>
  <c r="R107" i="2" s="1"/>
  <c r="P108" i="2"/>
  <c r="Q108" i="2" s="1"/>
  <c r="R108" i="2" s="1"/>
  <c r="P109" i="2"/>
  <c r="E106" i="2"/>
  <c r="R106" i="2" s="1"/>
  <c r="R109" i="2" s="1"/>
  <c r="B109" i="2"/>
  <c r="P113" i="2"/>
  <c r="Q113" i="2" s="1"/>
  <c r="R113" i="2" s="1"/>
  <c r="Q112" i="2"/>
  <c r="R112" i="2" s="1"/>
  <c r="P114" i="2"/>
  <c r="E111" i="2"/>
  <c r="R111" i="2" s="1"/>
  <c r="B114" i="2"/>
  <c r="P104" i="2"/>
  <c r="Q102" i="2"/>
  <c r="P103" i="2"/>
  <c r="E101" i="2"/>
  <c r="R101" i="2" s="1"/>
  <c r="B104" i="2"/>
  <c r="E226" i="2"/>
  <c r="R226" i="2" s="1"/>
  <c r="R225" i="2"/>
  <c r="R239" i="2"/>
  <c r="E239" i="2"/>
  <c r="B124" i="2" l="1"/>
  <c r="E104" i="2"/>
  <c r="R102" i="2"/>
  <c r="Q103" i="2"/>
  <c r="P124" i="2"/>
  <c r="Q104" i="2"/>
  <c r="B130" i="2"/>
  <c r="E114" i="2"/>
  <c r="Q114" i="2"/>
  <c r="R114" i="2" s="1"/>
  <c r="P130" i="2"/>
  <c r="B127" i="2"/>
  <c r="E109" i="2"/>
  <c r="P127" i="2"/>
  <c r="Q109" i="2"/>
  <c r="B121" i="2"/>
  <c r="E99" i="2"/>
  <c r="R97" i="2"/>
  <c r="R98" i="2" s="1"/>
  <c r="Q98" i="2"/>
  <c r="Q99" i="2"/>
  <c r="R99" i="2" s="1"/>
  <c r="P121" i="2"/>
  <c r="I68" i="2"/>
  <c r="R68" i="2" s="1"/>
  <c r="B530" i="2"/>
  <c r="E527" i="2"/>
  <c r="R527" i="2" s="1"/>
  <c r="B499" i="2"/>
  <c r="E499" i="2" s="1"/>
  <c r="R499" i="2" s="1"/>
  <c r="B546" i="2" s="1"/>
  <c r="B548" i="2" s="1"/>
  <c r="E497" i="2"/>
  <c r="R497" i="2" s="1"/>
  <c r="E530" i="2" l="1"/>
  <c r="R530" i="2" s="1"/>
  <c r="B532" i="2"/>
  <c r="E532" i="2" s="1"/>
  <c r="R532" i="2" s="1"/>
  <c r="P122" i="2"/>
  <c r="Q121" i="2"/>
  <c r="B122" i="2"/>
  <c r="E121" i="2"/>
  <c r="R121" i="2" s="1"/>
  <c r="P128" i="2"/>
  <c r="Q128" i="2" s="1"/>
  <c r="Q127" i="2"/>
  <c r="E127" i="2"/>
  <c r="R127" i="2" s="1"/>
  <c r="B128" i="2"/>
  <c r="E128" i="2" s="1"/>
  <c r="R128" i="2" s="1"/>
  <c r="Q130" i="2"/>
  <c r="P131" i="2"/>
  <c r="Q131" i="2" s="1"/>
  <c r="B131" i="2"/>
  <c r="E131" i="2" s="1"/>
  <c r="R131" i="2" s="1"/>
  <c r="E130" i="2"/>
  <c r="R130" i="2" s="1"/>
  <c r="P125" i="2"/>
  <c r="Q125" i="2" s="1"/>
  <c r="Q124" i="2"/>
  <c r="R103" i="2"/>
  <c r="R104" i="2"/>
  <c r="B125" i="2"/>
  <c r="E125" i="2" s="1"/>
  <c r="R125" i="2" s="1"/>
  <c r="E124" i="2"/>
  <c r="R124" i="2" s="1"/>
  <c r="B132" i="2" l="1"/>
  <c r="E132" i="2" s="1"/>
  <c r="E122" i="2"/>
  <c r="P132" i="2"/>
  <c r="Q132" i="2" s="1"/>
  <c r="Q122" i="2"/>
  <c r="R122" i="2" l="1"/>
  <c r="R1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LS1</author>
  </authors>
  <commentList>
    <comment ref="A79" authorId="0" shapeId="0" xr:uid="{228686C0-4CED-40C0-94CF-5B864E66DFF6}">
      <text>
        <r>
          <rPr>
            <b/>
            <sz val="8"/>
            <color indexed="8"/>
            <rFont val="Tahoma"/>
            <family val="2"/>
          </rPr>
          <t xml:space="preserve">La relazione é:
</t>
        </r>
        <r>
          <rPr>
            <b/>
            <sz val="8"/>
            <color indexed="8"/>
            <rFont val="Tahoma"/>
            <family val="2"/>
          </rPr>
          <t xml:space="preserve">Tariffa per unità di prodotto x Volumi di vendita = Costo di trasporto
</t>
        </r>
      </text>
    </comment>
    <comment ref="A93" authorId="0" shapeId="0" xr:uid="{7A2DD12F-63E4-4792-AD90-9E637D1E0948}">
      <text>
        <r>
          <rPr>
            <b/>
            <sz val="8"/>
            <color indexed="81"/>
            <rFont val="Tahoma"/>
            <family val="2"/>
          </rPr>
          <t xml:space="preserve">La relazione é:
Fatturato - Costi variabili commerciali = Margine commerciale
</t>
        </r>
      </text>
    </comment>
    <comment ref="A104" authorId="0" shapeId="0" xr:uid="{287BD4FC-9C3E-478C-A9B1-19B54A4BB824}">
      <text>
        <r>
          <rPr>
            <b/>
            <sz val="8"/>
            <color indexed="81"/>
            <rFont val="Tahoma"/>
            <family val="2"/>
          </rPr>
          <t xml:space="preserve">La relazione é:
Fatturato - Costi variabili commerciali = Margine commerciale
</t>
        </r>
      </text>
    </comment>
    <comment ref="A115" authorId="0" shapeId="0" xr:uid="{8C6E4686-5A11-4495-8A11-8D1F2DADA9D9}">
      <text>
        <r>
          <rPr>
            <b/>
            <sz val="8"/>
            <color indexed="81"/>
            <rFont val="Tahoma"/>
            <family val="2"/>
          </rPr>
          <t xml:space="preserve">La relazione é:
Fatturato - Costi variabili commerciali = Margine commerciale
</t>
        </r>
      </text>
    </comment>
    <comment ref="A126" authorId="0" shapeId="0" xr:uid="{EC7C8B2F-2B9E-43D4-A1F8-8C7FC9359008}">
      <text>
        <r>
          <rPr>
            <b/>
            <sz val="8"/>
            <color indexed="81"/>
            <rFont val="Tahoma"/>
            <family val="2"/>
          </rPr>
          <t xml:space="preserve">La relazione é:
Fatturato - Costi variabili commerciali = Margine commerciale
</t>
        </r>
      </text>
    </comment>
    <comment ref="A137" authorId="0" shapeId="0" xr:uid="{774883C1-651F-4BE4-A298-EEF1F10D9AD0}">
      <text>
        <r>
          <rPr>
            <b/>
            <sz val="8"/>
            <color indexed="81"/>
            <rFont val="Tahoma"/>
            <family val="2"/>
          </rPr>
          <t xml:space="preserve">La relazione é:
Fatturato - Costi variabili commerciali = Margine commerciale
</t>
        </r>
      </text>
    </comment>
    <comment ref="A148" authorId="0" shapeId="0" xr:uid="{2EC18E6D-869A-41EC-9432-527CBE1E8739}">
      <text>
        <r>
          <rPr>
            <b/>
            <sz val="8"/>
            <color indexed="81"/>
            <rFont val="Tahoma"/>
            <family val="2"/>
          </rPr>
          <t xml:space="preserve">La relazione é:
Fatturato - Costi variabili commerciali = Margine commerciale
</t>
        </r>
      </text>
    </comment>
    <comment ref="A159" authorId="0" shapeId="0" xr:uid="{AF858E33-BCC4-49BE-BEF1-F275189160BC}">
      <text>
        <r>
          <rPr>
            <b/>
            <sz val="8"/>
            <color indexed="81"/>
            <rFont val="Tahoma"/>
            <family val="2"/>
          </rPr>
          <t xml:space="preserve">La relazione é:
Fatturato - Costi variabili commerciali = Margine commerciale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pinoi</author>
    <author>Un utente Microsoft Office soddisfatto</author>
  </authors>
  <commentList>
    <comment ref="A35" authorId="0" shapeId="0" xr:uid="{6B0A5E1C-1C30-4FB9-9E61-07D36739281E}">
      <text>
        <r>
          <rPr>
            <b/>
            <sz val="8"/>
            <color indexed="81"/>
            <rFont val="Tahoma"/>
            <family val="2"/>
          </rPr>
          <t xml:space="preserve"> Consumo unitario materia j prodotto i x Volumi prodotto i = Consumo totale materia j nella produzione di i</t>
        </r>
      </text>
    </comment>
    <comment ref="A97" authorId="1" shapeId="0" xr:uid="{44B3A402-FD13-427D-B222-05D8A988407C}">
      <text>
        <r>
          <rPr>
            <sz val="10"/>
            <color indexed="81"/>
            <rFont val="Tahoma"/>
            <family val="2"/>
          </rPr>
          <t>L'ipotesi fatta è quella di mantenere in magazzino, ciascun mese, una quantità di materie pari ad 1/4 del consumo di materie previsto per la produzione del mese successivo.</t>
        </r>
      </text>
    </comment>
    <comment ref="A152" authorId="0" shapeId="0" xr:uid="{8D694E65-CD4F-4990-9723-7B5FFFE575D6}">
      <text>
        <r>
          <rPr>
            <b/>
            <sz val="8"/>
            <color indexed="81"/>
            <rFont val="Tahoma"/>
            <family val="2"/>
          </rPr>
          <t xml:space="preserve">La relazione è:
 Tempo unitario standard uomo x Volumi di produzione = Fabbisogno totale manodopera diretta industriale 
</t>
        </r>
      </text>
    </comment>
    <comment ref="A153" authorId="0" shapeId="0" xr:uid="{4B0B178C-DA43-4FBC-AFA3-819C045FBB5A}">
      <text>
        <r>
          <rPr>
            <b/>
            <sz val="8"/>
            <color indexed="81"/>
            <rFont val="Tahoma"/>
            <family val="2"/>
          </rPr>
          <t xml:space="preserve">La relazione è:
 Ore disponibili unitarie x Numero personale in organico
 = Ore disponibili totali
 - Ore di fabbisogno
 = Eccedenza della disponibilità sul fabbisogno
</t>
        </r>
      </text>
    </comment>
    <comment ref="A212" authorId="0" shapeId="0" xr:uid="{08C2C407-7CBC-446B-841F-F4073A3AA09A}">
      <text>
        <r>
          <rPr>
            <b/>
            <sz val="8"/>
            <color indexed="81"/>
            <rFont val="Tahoma"/>
            <family val="2"/>
          </rPr>
          <t xml:space="preserve">La relazione é:
 Ore di fabbisogno x Costo orario = Costo manodopera diretta
</t>
        </r>
      </text>
    </comment>
    <comment ref="A243" authorId="0" shapeId="0" xr:uid="{6B41CDA9-5B50-47F9-AA51-4E518B17B298}">
      <text>
        <r>
          <rPr>
            <b/>
            <sz val="8"/>
            <color indexed="81"/>
            <rFont val="Tahoma"/>
            <family val="2"/>
          </rPr>
          <t xml:space="preserve">La relazione è:
 Tempo unitario standard uomo x Costo orario lavoro = Costo della manodopera diretta per unità di prodotto.
</t>
        </r>
      </text>
    </comment>
    <comment ref="V287" authorId="0" shapeId="0" xr:uid="{78679A48-79DB-4446-A2DB-1C74EDFD20C9}">
      <text>
        <r>
          <rPr>
            <b/>
            <sz val="8"/>
            <color indexed="81"/>
            <rFont val="Tahoma"/>
            <family val="2"/>
          </rPr>
          <t xml:space="preserve">Il valore gestionale degli impianti viene ottenuto secondo la seguente relazione:
 Valore gestionale iniziale degli impianti  + Acquisizioni - Dismissioni = 
Valore gestionale finale degli impianti
</t>
        </r>
      </text>
    </comment>
    <comment ref="Y287" authorId="0" shapeId="0" xr:uid="{A892487E-8AFA-40D1-959A-901710352876}">
      <text>
        <r>
          <rPr>
            <b/>
            <sz val="8"/>
            <color indexed="81"/>
            <rFont val="Tahoma"/>
            <family val="2"/>
          </rPr>
          <t xml:space="preserve"> Valore gestionale impianti / Numero anni vita utile 
 = Quota annua ammortamento
</t>
        </r>
      </text>
    </comment>
    <comment ref="A300" authorId="0" shapeId="0" xr:uid="{7D2EA3CF-EEAF-425B-82F5-5D0376CEC000}">
      <text>
        <r>
          <rPr>
            <b/>
            <sz val="8"/>
            <color indexed="81"/>
            <rFont val="Tahoma"/>
            <family val="2"/>
          </rPr>
          <t xml:space="preserve">La relazione è:
 Tempo unitario standard macchina x Volumi di produzione 
 = Fabbisogno totale ore macchina
</t>
        </r>
      </text>
    </comment>
    <comment ref="A301" authorId="0" shapeId="0" xr:uid="{1BACACB3-0A9E-4378-AB9D-9ED32F0D4A2A}">
      <text>
        <r>
          <rPr>
            <b/>
            <sz val="8"/>
            <color indexed="81"/>
            <rFont val="Tahoma"/>
            <family val="2"/>
          </rPr>
          <t xml:space="preserve">La relazione è: 
 Ore complessive disponibili
 - Ore di arresto (scioperi, manutenzioni, mancanza energia, ecc.)
 = Ore disponibili nette
 - Ore fabbisogno complessivo
 = Eccedenza fabbisogno disponibilità
</t>
        </r>
      </text>
    </comment>
    <comment ref="U310" authorId="0" shapeId="0" xr:uid="{669FFA28-206C-4BCD-B44D-52001F180E62}">
      <text>
        <r>
          <rPr>
            <b/>
            <sz val="8"/>
            <color indexed="81"/>
            <rFont val="Tahoma"/>
            <family val="2"/>
          </rPr>
          <t xml:space="preserve"> Quota annua ammortamento / Ore disponibilità annuale
 = Aliquota oraria ammortamento
</t>
        </r>
      </text>
    </comment>
    <comment ref="A343" authorId="0" shapeId="0" xr:uid="{2ECB3B7A-8BF0-4121-B7CF-30D7A468A43E}">
      <text>
        <r>
          <rPr>
            <b/>
            <sz val="8"/>
            <color indexed="81"/>
            <rFont val="Tahoma"/>
            <family val="2"/>
          </rPr>
          <t xml:space="preserve"> Aliquota oraria ammortamento x Fabbisogno totale ore macchina 
 = Costo complessivo per impianti di produzione del centro
</t>
        </r>
      </text>
    </comment>
    <comment ref="A354" authorId="0" shapeId="0" xr:uid="{97E721E2-6AE4-4BE4-A87D-7523EBDE853B}">
      <text>
        <r>
          <rPr>
            <b/>
            <sz val="8"/>
            <color indexed="81"/>
            <rFont val="Tahoma"/>
            <family val="2"/>
          </rPr>
          <t xml:space="preserve">La relazione è:
 Tempo unitario standard macchina prodotto A
 x Aliquota oraria ammortamento 
 = Incidenza del costo per impianti sul prodotto A
</t>
        </r>
      </text>
    </comment>
  </commentList>
</comments>
</file>

<file path=xl/sharedStrings.xml><?xml version="1.0" encoding="utf-8"?>
<sst xmlns="http://schemas.openxmlformats.org/spreadsheetml/2006/main" count="1330" uniqueCount="223">
  <si>
    <t>Budget del settore distributivo - SETTORE CALZATURIERO</t>
  </si>
  <si>
    <t>PIANO DEI VOLUMI DI VENDITA</t>
  </si>
  <si>
    <t>Tabella delle informazioni commerciali</t>
  </si>
  <si>
    <t>LUREX 1</t>
  </si>
  <si>
    <t>GEN.</t>
  </si>
  <si>
    <t>FEB.</t>
  </si>
  <si>
    <t>MAR.</t>
  </si>
  <si>
    <t>I TRIM</t>
  </si>
  <si>
    <t>APR.</t>
  </si>
  <si>
    <t>MAG.</t>
  </si>
  <si>
    <t>GIU.</t>
  </si>
  <si>
    <t>II TRIM</t>
  </si>
  <si>
    <t>LUG.</t>
  </si>
  <si>
    <t>AGO</t>
  </si>
  <si>
    <t>SET</t>
  </si>
  <si>
    <t>III TRIM</t>
  </si>
  <si>
    <t>OTT.</t>
  </si>
  <si>
    <t>NOV.</t>
  </si>
  <si>
    <t>DIC.</t>
  </si>
  <si>
    <t>IV TRIM.</t>
  </si>
  <si>
    <t>TOTALE</t>
  </si>
  <si>
    <t>LUREX</t>
  </si>
  <si>
    <t>prodotti</t>
  </si>
  <si>
    <t>Italia</t>
  </si>
  <si>
    <t>Francia</t>
  </si>
  <si>
    <t xml:space="preserve">   Italia</t>
  </si>
  <si>
    <t>Sconti</t>
  </si>
  <si>
    <t>I semestre</t>
  </si>
  <si>
    <t>II semestre</t>
  </si>
  <si>
    <t>Moccassino</t>
  </si>
  <si>
    <t>Mocassino</t>
  </si>
  <si>
    <t>Decollete'</t>
  </si>
  <si>
    <t>All star</t>
  </si>
  <si>
    <t>Slip on in pelle</t>
  </si>
  <si>
    <t xml:space="preserve"> Francia</t>
  </si>
  <si>
    <t>Costi unitari trasporto</t>
  </si>
  <si>
    <t>PREZZI DI VENDITA</t>
  </si>
  <si>
    <t>Estero</t>
  </si>
  <si>
    <t xml:space="preserve"> provvigioni esterne</t>
  </si>
  <si>
    <t>slip on in pelle</t>
  </si>
  <si>
    <t>BUDGET DEI RICAVI TEORICI</t>
  </si>
  <si>
    <t xml:space="preserve"> Italia</t>
  </si>
  <si>
    <t xml:space="preserve"> Totale</t>
  </si>
  <si>
    <t>BUDGET DEGLI SCONTI</t>
  </si>
  <si>
    <t>Totale</t>
  </si>
  <si>
    <t>BUDGET DEL FATTURATO</t>
  </si>
  <si>
    <t> </t>
  </si>
  <si>
    <t>BUDGET DELLE PROVVIGIONI ESTERNE</t>
  </si>
  <si>
    <t>BUDGET DEI COSTI DI TRASPORTO</t>
  </si>
  <si>
    <t>BUDGET MARGINE COMMERCIALE MOCCASSINO</t>
  </si>
  <si>
    <t>Ricavi di Vendita</t>
  </si>
  <si>
    <t>- Sconti</t>
  </si>
  <si>
    <t>Fatturato</t>
  </si>
  <si>
    <t>- Costi di Trasporto</t>
  </si>
  <si>
    <t>- Provvigioni esterne</t>
  </si>
  <si>
    <t>Margine contribuzione comm.</t>
  </si>
  <si>
    <t>BUDGET MARGINE COMMERCIALE DECOLLETE'</t>
  </si>
  <si>
    <t>BUDGET MARGINE COMMERCIALE ALL STAR</t>
  </si>
  <si>
    <t>BUDGET MARGINE COMMERCIALE SLIP ON IN PELLE</t>
  </si>
  <si>
    <t>BUDGET MARGINE COMMERCIALE CANALE ITALIA</t>
  </si>
  <si>
    <t>BUDGET MARGINE COMMERCIALE CANALE FRANCIA</t>
  </si>
  <si>
    <t>BUDGET MARGINE COMMERCIALE AZIENDALE</t>
  </si>
  <si>
    <t>Budget della produzione</t>
  </si>
  <si>
    <t>Distinta base della produzione</t>
  </si>
  <si>
    <t>Piano integrato di produzione, vendita e scorte di prodotti finiti</t>
  </si>
  <si>
    <t xml:space="preserve">                                                                                                               Centri Produttivi</t>
  </si>
  <si>
    <t>centri produttivi</t>
  </si>
  <si>
    <t>AGO.</t>
  </si>
  <si>
    <t>SET.</t>
  </si>
  <si>
    <t>IV TRIM</t>
  </si>
  <si>
    <t>Riepilogo Annuale</t>
  </si>
  <si>
    <t>Centro 1-taglio</t>
  </si>
  <si>
    <t>Centro 2-aggiunteria</t>
  </si>
  <si>
    <t>Centro 3-Montaggio</t>
  </si>
  <si>
    <t>Centro 4-rifinitura e confezionamento</t>
  </si>
  <si>
    <t>Linea classica Mocassino</t>
  </si>
  <si>
    <t>Tempo Uomo</t>
  </si>
  <si>
    <t xml:space="preserve"> Rimanenze Iniziali</t>
  </si>
  <si>
    <t>Tempo Macchina</t>
  </si>
  <si>
    <t>scarto</t>
  </si>
  <si>
    <t>pelle</t>
  </si>
  <si>
    <t>All Star</t>
  </si>
  <si>
    <t>filo</t>
  </si>
  <si>
    <t>suole</t>
  </si>
  <si>
    <t>Vendite</t>
  </si>
  <si>
    <t>Linea classica decollete'</t>
  </si>
  <si>
    <t xml:space="preserve"> Rimanenze Finali programmate</t>
  </si>
  <si>
    <t xml:space="preserve"> Rimanenze Finali Effettive</t>
  </si>
  <si>
    <t>Linea sportiva All Star</t>
  </si>
  <si>
    <t>Scatola</t>
  </si>
  <si>
    <t>Produzione</t>
  </si>
  <si>
    <t>Linea classica Slip on in pelle</t>
  </si>
  <si>
    <t>Scarto</t>
  </si>
  <si>
    <t>Pelle</t>
  </si>
  <si>
    <t>Filo</t>
  </si>
  <si>
    <t>Piano dei consumi di materie prime</t>
  </si>
  <si>
    <t>Suole</t>
  </si>
  <si>
    <t>Scatola(opzionale)</t>
  </si>
  <si>
    <t>linea sportiva All Star</t>
  </si>
  <si>
    <t>linea classica slip on in pelle</t>
  </si>
  <si>
    <t>Prezzo standard medio annuo</t>
  </si>
  <si>
    <t>linea classica mocassino</t>
  </si>
  <si>
    <t>Media</t>
  </si>
  <si>
    <t>linea classica decollette'</t>
  </si>
  <si>
    <t>1 semestre</t>
  </si>
  <si>
    <t>2 semestre</t>
  </si>
  <si>
    <t>Budget dei costi di consumo di materie prime</t>
  </si>
  <si>
    <t>Piano dei volumi acquisti/scorte di materie prime</t>
  </si>
  <si>
    <t xml:space="preserve"> Rimanenze iniziali</t>
  </si>
  <si>
    <t xml:space="preserve"> Rimanenze finali programmate</t>
  </si>
  <si>
    <t xml:space="preserve"> Rimanenze fin. effettive</t>
  </si>
  <si>
    <t xml:space="preserve"> Totale Acquisti</t>
  </si>
  <si>
    <t>Budget dei costi d'acquisto materie prime</t>
  </si>
  <si>
    <t>Acquisti Fornitore  BoxArt Packaging</t>
  </si>
  <si>
    <t xml:space="preserve"> Costo Totale Acquisti Scatola</t>
  </si>
  <si>
    <t>Acquisti  Fornitore Conceria Toscana Srl</t>
  </si>
  <si>
    <t xml:space="preserve"> Costo Totale  Acquisti Pelle</t>
  </si>
  <si>
    <t xml:space="preserve"> Acquisti Fornitore Texfil Group</t>
  </si>
  <si>
    <t xml:space="preserve"> Costo Totale Acquisti Filo</t>
  </si>
  <si>
    <t xml:space="preserve"> Acquisti Fornitore Gommitalia Spa</t>
  </si>
  <si>
    <t xml:space="preserve"> Costo Totale Acquisti Suole</t>
  </si>
  <si>
    <t>Costo Totale Aquisti Materie Prime</t>
  </si>
  <si>
    <t>Piano fabbisogno / disponibilità manodopera diretta</t>
  </si>
  <si>
    <t>Ore giornaliere</t>
  </si>
  <si>
    <t>Giorni mensili</t>
  </si>
  <si>
    <t>CENTRO 1</t>
  </si>
  <si>
    <t>Ore mensili gruppi lavoro</t>
  </si>
  <si>
    <t>Ore mens. formazione</t>
  </si>
  <si>
    <t>Personale</t>
  </si>
  <si>
    <t>Numero turni</t>
  </si>
  <si>
    <t>Personale per Riatt.ggio</t>
  </si>
  <si>
    <t xml:space="preserve"> % Assenteismo</t>
  </si>
  <si>
    <t xml:space="preserve"> % Straordinario</t>
  </si>
  <si>
    <t xml:space="preserve">   Disponibilità</t>
  </si>
  <si>
    <t>Fabbisogno linea classica mocassino</t>
  </si>
  <si>
    <t>Fabbisogno linea classica decolleté</t>
  </si>
  <si>
    <t>Fabbisogno linea classica All star</t>
  </si>
  <si>
    <t>Fabbisongo linea classica slip on in pelle</t>
  </si>
  <si>
    <t xml:space="preserve">   Fabbisogno</t>
  </si>
  <si>
    <t>Eccedenza/Mancanza</t>
  </si>
  <si>
    <t>CENTRO 2</t>
  </si>
  <si>
    <t>Fabbisongo linea classica All  star</t>
  </si>
  <si>
    <t>CENTRO 3</t>
  </si>
  <si>
    <t>Ore settimanali gruppi lavoro</t>
  </si>
  <si>
    <t>CENTRO 4</t>
  </si>
  <si>
    <t>Totale Fabbisogno</t>
  </si>
  <si>
    <t>Totale Disponibilità</t>
  </si>
  <si>
    <t>Totale ECCEDENZE</t>
  </si>
  <si>
    <t xml:space="preserve">Informazioni sulla retribuzione della manodopera diretta </t>
  </si>
  <si>
    <t>Costo Orario</t>
  </si>
  <si>
    <t>Budget manodopera diretta industriale</t>
  </si>
  <si>
    <t>Costi manodopera diretta per unità di prodotto</t>
  </si>
  <si>
    <t>linea classica decolleté</t>
  </si>
  <si>
    <t>linea classica All star</t>
  </si>
  <si>
    <t>linea classica Slip on in pelle</t>
  </si>
  <si>
    <t>Piano fabbisogno / disponibilità ore macchina</t>
  </si>
  <si>
    <t>Budget ammortamento fattori pluriennali</t>
  </si>
  <si>
    <t>Valore gestionale</t>
  </si>
  <si>
    <t xml:space="preserve">Vita Utile </t>
  </si>
  <si>
    <t>Val. di recupero</t>
  </si>
  <si>
    <t>Ammort.</t>
  </si>
  <si>
    <t>Impianti</t>
  </si>
  <si>
    <t>Centro 1 – Taglio</t>
  </si>
  <si>
    <t>Numero Macchine</t>
  </si>
  <si>
    <t>Centro 2 – Aggiunteria</t>
  </si>
  <si>
    <t>Centro 3 – Montaggio</t>
  </si>
  <si>
    <t>Numero di riattrezzaggi</t>
  </si>
  <si>
    <t>Centro 4 – Rifinitura e confezionamento</t>
  </si>
  <si>
    <t>Ore di arresto macchine per manut.</t>
  </si>
  <si>
    <t>Fabbisogno per riattrezzaggio</t>
  </si>
  <si>
    <t>fabbisogno linea classica mocassino</t>
  </si>
  <si>
    <t>Edifici</t>
  </si>
  <si>
    <t>fabbisogno linea classica decolleté</t>
  </si>
  <si>
    <t>Centre</t>
  </si>
  <si>
    <t>Vita Utile</t>
  </si>
  <si>
    <t>fabbisogno linea classica All star</t>
  </si>
  <si>
    <t>-</t>
  </si>
  <si>
    <t>fabbisogno linea classica Slip on in pelle</t>
  </si>
  <si>
    <t xml:space="preserve"> Centro Prod. 1</t>
  </si>
  <si>
    <t xml:space="preserve"> Centro Prod. 2</t>
  </si>
  <si>
    <t xml:space="preserve"> Centro Prod. 3</t>
  </si>
  <si>
    <t xml:space="preserve"> Centro Prod. 4</t>
  </si>
  <si>
    <t>Aliquota oraria ammortamento</t>
  </si>
  <si>
    <t xml:space="preserve">  Fabbisogno</t>
  </si>
  <si>
    <t>Budget costo complessivo per impianti di produzione dei centri</t>
  </si>
  <si>
    <t>Budget degli ammortamenti per unità di prodotto</t>
  </si>
  <si>
    <t>centro 1</t>
  </si>
  <si>
    <t>centro 2</t>
  </si>
  <si>
    <t>centro 3</t>
  </si>
  <si>
    <t>centro 4</t>
  </si>
  <si>
    <t>BUDGET COSTO INDUSTRIALE "mocassino"</t>
  </si>
  <si>
    <t>C. u. std. materie prime</t>
  </si>
  <si>
    <t>C. u. std. manodopera diretta</t>
  </si>
  <si>
    <t>Aliq. Unit.Ammort. impianti</t>
  </si>
  <si>
    <t>BUDGET COSTO INDUSTRIALE "decollete'"</t>
  </si>
  <si>
    <t>BUDGET COSTO INDUSTRIALE "all star"</t>
  </si>
  <si>
    <t>BUDGET COSTO INDUSTRIALE "slip on in pelle"</t>
  </si>
  <si>
    <t>Costo delle materie prime per unità di prodotto</t>
  </si>
  <si>
    <t>BUDGET MARGINE INDUSTRIALE Mocassino</t>
  </si>
  <si>
    <t>Rimanenze Iniziali</t>
  </si>
  <si>
    <t>Rimanenze Finali</t>
  </si>
  <si>
    <t>Valore Produzione</t>
  </si>
  <si>
    <t>Costo Ind. Produzione</t>
  </si>
  <si>
    <t>Margine Cntr. Industr.le</t>
  </si>
  <si>
    <t>BUDGET MARGINE INDUSTRIALE Decollete'</t>
  </si>
  <si>
    <t>BUDGET MARGINE INDUSTRIALE All star</t>
  </si>
  <si>
    <t>BUDGET MARGINE INDUSTRIALE Slip on in  pelle</t>
  </si>
  <si>
    <t>BUDGET MARGINE INDUSTRIALE PRIMA L'INTRODUZIONE DELLO SLIP ON IN  PELLE</t>
  </si>
  <si>
    <t>RICAVI DI VENDITA</t>
  </si>
  <si>
    <t>SCONTI</t>
  </si>
  <si>
    <t>FATTURATO</t>
  </si>
  <si>
    <t>RIMANENZE INIZIALI</t>
  </si>
  <si>
    <t>RIMANENZE FINALI</t>
  </si>
  <si>
    <t>VALORE DELLA PRODUZIONE</t>
  </si>
  <si>
    <t>COSTO INDUSTRIALE DI PRODUZIONE</t>
  </si>
  <si>
    <t>MARGINE DI CONTRIBUZIONE INDUSTRIALE</t>
  </si>
  <si>
    <t>BUDGET MARGINE INDUSTRIALE DOPO L'INTRODUZIONE DELLO SLIP ON IN  PELLE</t>
  </si>
  <si>
    <t xml:space="preserve"> TOTALE MARGINE DI CONTRIBUZIONE INIZIALE</t>
  </si>
  <si>
    <t>TOTALE DA RAGGIUNGERE</t>
  </si>
  <si>
    <t>OBIETTIVO DA RAGGIUNGERE</t>
  </si>
  <si>
    <t>TOTALE RAGGIUNTO</t>
  </si>
  <si>
    <t>MARGINE RAGGIUNTO</t>
  </si>
  <si>
    <t>% DEL MARGINE RAGGIUNTO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</si>
</sst>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_-"/>
    <numFmt numFmtId="165" formatCode="_-[$€-2]\ * #,##0.00_-;\-[$€-2]\ * #,##0.00_-;_-[$€-2]\ * &quot;-&quot;??_-"/>
    <numFmt numFmtId="166" formatCode="#,##0.0000"/>
    <numFmt numFmtId="167" formatCode="_-* #,##0.00_-;\-* #,##0.00_-;_-* &quot;-&quot;_-;_-@_-"/>
    <numFmt numFmtId="168" formatCode="#,##0.000"/>
    <numFmt numFmtId="169" formatCode="#,##0.00000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20"/>
      <color indexed="10"/>
      <name val="Arial"/>
      <family val="2"/>
    </font>
    <font>
      <b/>
      <sz val="11"/>
      <color rgb="FF002060"/>
      <name val="Aptos Narrow"/>
      <family val="2"/>
      <scheme val="minor"/>
    </font>
    <font>
      <b/>
      <sz val="10"/>
      <color rgb="FF00B050"/>
      <name val="Arial"/>
      <family val="2"/>
    </font>
    <font>
      <b/>
      <sz val="11"/>
      <color rgb="FFC00000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i/>
      <u/>
      <sz val="10"/>
      <name val="Arial"/>
      <family val="2"/>
    </font>
    <font>
      <b/>
      <sz val="13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indexed="8"/>
      <name val="Tahoma"/>
      <family val="2"/>
    </font>
    <font>
      <b/>
      <i/>
      <u/>
      <sz val="11"/>
      <color rgb="FF000000"/>
      <name val="Aptos Narrow"/>
      <family val="2"/>
      <scheme val="minor"/>
    </font>
    <font>
      <b/>
      <sz val="8"/>
      <color indexed="81"/>
      <name val="Tahoma"/>
      <family val="2"/>
    </font>
    <font>
      <b/>
      <sz val="11"/>
      <color rgb="FFFA7D00"/>
      <name val="Aptos Narrow"/>
      <family val="2"/>
      <scheme val="minor"/>
    </font>
    <font>
      <b/>
      <sz val="10"/>
      <color indexed="10"/>
      <name val="Arial"/>
      <family val="2"/>
    </font>
    <font>
      <b/>
      <sz val="10"/>
      <color rgb="FFDD0806"/>
      <name val="Arial"/>
      <family val="2"/>
    </font>
    <font>
      <sz val="10"/>
      <color indexed="81"/>
      <name val="Tahoma"/>
      <family val="2"/>
    </font>
    <font>
      <b/>
      <sz val="11"/>
      <color theme="3"/>
      <name val="Aptos Narrow"/>
      <family val="2"/>
      <scheme val="minor"/>
    </font>
    <font>
      <b/>
      <u val="double"/>
      <sz val="11"/>
      <color theme="1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BF7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00B05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 style="hair">
        <color indexed="40"/>
      </left>
      <right style="hair">
        <color indexed="40"/>
      </right>
      <top style="thick">
        <color indexed="40"/>
      </top>
      <bottom style="hair">
        <color indexed="40"/>
      </bottom>
      <diagonal/>
    </border>
    <border>
      <left style="hair">
        <color indexed="40"/>
      </left>
      <right/>
      <top style="thick">
        <color indexed="40"/>
      </top>
      <bottom style="hair">
        <color indexed="40"/>
      </bottom>
      <diagonal/>
    </border>
    <border>
      <left/>
      <right style="hair">
        <color indexed="40"/>
      </right>
      <top style="thick">
        <color indexed="40"/>
      </top>
      <bottom style="hair">
        <color indexed="40"/>
      </bottom>
      <diagonal/>
    </border>
    <border>
      <left style="thin">
        <color indexed="44"/>
      </left>
      <right style="hair">
        <color indexed="44"/>
      </right>
      <top style="hair">
        <color indexed="44"/>
      </top>
      <bottom style="hair">
        <color indexed="44"/>
      </bottom>
      <diagonal/>
    </border>
    <border>
      <left style="hair">
        <color indexed="40"/>
      </left>
      <right style="hair">
        <color indexed="40"/>
      </right>
      <top style="hair">
        <color indexed="40"/>
      </top>
      <bottom style="hair">
        <color indexed="40"/>
      </bottom>
      <diagonal/>
    </border>
    <border>
      <left style="hair">
        <color indexed="40"/>
      </left>
      <right/>
      <top style="hair">
        <color indexed="40"/>
      </top>
      <bottom style="hair">
        <color indexed="40"/>
      </bottom>
      <diagonal/>
    </border>
    <border>
      <left style="hair">
        <color indexed="40"/>
      </left>
      <right style="thin">
        <color indexed="40"/>
      </right>
      <top style="hair">
        <color indexed="40"/>
      </top>
      <bottom style="hair">
        <color indexed="40"/>
      </bottom>
      <diagonal/>
    </border>
    <border>
      <left style="thin">
        <color indexed="40"/>
      </left>
      <right style="hair">
        <color indexed="40"/>
      </right>
      <top style="hair">
        <color indexed="40"/>
      </top>
      <bottom style="hair">
        <color indexed="40"/>
      </bottom>
      <diagonal/>
    </border>
    <border>
      <left style="hair">
        <color indexed="40"/>
      </left>
      <right style="hair">
        <color indexed="40"/>
      </right>
      <top style="hair">
        <color indexed="40"/>
      </top>
      <bottom style="thick">
        <color indexed="40"/>
      </bottom>
      <diagonal/>
    </border>
    <border>
      <left style="thin">
        <color indexed="44"/>
      </left>
      <right style="hair">
        <color indexed="44"/>
      </right>
      <top style="thick">
        <color indexed="44"/>
      </top>
      <bottom style="hair">
        <color indexed="44"/>
      </bottom>
      <diagonal/>
    </border>
    <border>
      <left style="thin">
        <color indexed="44"/>
      </left>
      <right/>
      <top style="hair">
        <color indexed="40"/>
      </top>
      <bottom style="hair">
        <color indexed="40"/>
      </bottom>
      <diagonal/>
    </border>
    <border>
      <left/>
      <right style="hair">
        <color indexed="40"/>
      </right>
      <top style="hair">
        <color indexed="40"/>
      </top>
      <bottom style="hair">
        <color indexed="40"/>
      </bottom>
      <diagonal/>
    </border>
    <border>
      <left style="thin">
        <color indexed="40"/>
      </left>
      <right/>
      <top style="hair">
        <color indexed="40"/>
      </top>
      <bottom style="hair">
        <color indexed="40"/>
      </bottom>
      <diagonal/>
    </border>
    <border>
      <left style="hair">
        <color indexed="44"/>
      </left>
      <right style="hair">
        <color indexed="44"/>
      </right>
      <top style="thick">
        <color indexed="44"/>
      </top>
      <bottom style="hair">
        <color indexed="44"/>
      </bottom>
      <diagonal/>
    </border>
    <border>
      <left style="hair">
        <color indexed="44"/>
      </left>
      <right style="thin">
        <color indexed="44"/>
      </right>
      <top style="thick">
        <color indexed="44"/>
      </top>
      <bottom style="hair">
        <color indexed="44"/>
      </bottom>
      <diagonal/>
    </border>
    <border>
      <left style="hair">
        <color indexed="44"/>
      </left>
      <right style="hair">
        <color indexed="44"/>
      </right>
      <top style="hair">
        <color indexed="44"/>
      </top>
      <bottom style="hair">
        <color indexed="44"/>
      </bottom>
      <diagonal/>
    </border>
    <border>
      <left style="hair">
        <color indexed="44"/>
      </left>
      <right style="thin">
        <color indexed="44"/>
      </right>
      <top style="hair">
        <color indexed="44"/>
      </top>
      <bottom style="hair">
        <color indexed="44"/>
      </bottom>
      <diagonal/>
    </border>
    <border>
      <left style="hair">
        <color indexed="40"/>
      </left>
      <right style="hair">
        <color indexed="40"/>
      </right>
      <top/>
      <bottom/>
      <diagonal/>
    </border>
    <border>
      <left/>
      <right/>
      <top style="thick">
        <color indexed="40"/>
      </top>
      <bottom style="hair">
        <color indexed="4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DD080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44"/>
      </left>
      <right style="hair">
        <color indexed="44"/>
      </right>
      <top style="hair">
        <color indexed="44"/>
      </top>
      <bottom style="thick">
        <color indexed="44"/>
      </bottom>
      <diagonal/>
    </border>
    <border>
      <left style="hair">
        <color indexed="44"/>
      </left>
      <right style="hair">
        <color indexed="44"/>
      </right>
      <top style="hair">
        <color indexed="44"/>
      </top>
      <bottom style="thick">
        <color indexed="44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165" fontId="4" fillId="0" borderId="0" applyFont="0" applyFill="0" applyBorder="0" applyAlignment="0" applyProtection="0"/>
    <xf numFmtId="0" fontId="14" fillId="0" borderId="21" applyNumberFormat="0" applyFill="0" applyAlignment="0" applyProtection="0"/>
    <xf numFmtId="0" fontId="1" fillId="10" borderId="24" applyNumberFormat="0" applyFont="0" applyAlignment="0" applyProtection="0"/>
    <xf numFmtId="0" fontId="19" fillId="12" borderId="23" applyNumberFormat="0" applyAlignment="0" applyProtection="0"/>
  </cellStyleXfs>
  <cellXfs count="222">
    <xf numFmtId="0" fontId="0" fillId="0" borderId="0" xfId="0"/>
    <xf numFmtId="4" fontId="3" fillId="0" borderId="1" xfId="0" applyNumberFormat="1" applyFont="1" applyBorder="1" applyAlignment="1">
      <alignment horizontal="left"/>
    </xf>
    <xf numFmtId="4" fontId="3" fillId="0" borderId="0" xfId="0" applyNumberFormat="1" applyFont="1" applyAlignment="1">
      <alignment horizontal="left"/>
    </xf>
    <xf numFmtId="4" fontId="4" fillId="0" borderId="0" xfId="0" applyNumberFormat="1" applyFont="1"/>
    <xf numFmtId="4" fontId="4" fillId="0" borderId="0" xfId="0" applyNumberFormat="1" applyFont="1" applyAlignment="1">
      <alignment horizontal="centerContinuous" vertical="top"/>
    </xf>
    <xf numFmtId="4" fontId="5" fillId="4" borderId="5" xfId="0" quotePrefix="1" applyNumberFormat="1" applyFont="1" applyFill="1" applyBorder="1" applyAlignment="1">
      <alignment horizontal="left"/>
    </xf>
    <xf numFmtId="3" fontId="6" fillId="0" borderId="6" xfId="0" applyNumberFormat="1" applyFont="1" applyBorder="1" applyAlignment="1">
      <alignment horizontal="left"/>
    </xf>
    <xf numFmtId="3" fontId="6" fillId="0" borderId="6" xfId="0" applyNumberFormat="1" applyFont="1" applyBorder="1"/>
    <xf numFmtId="3" fontId="5" fillId="0" borderId="6" xfId="0" applyNumberFormat="1" applyFont="1" applyBorder="1"/>
    <xf numFmtId="3" fontId="5" fillId="0" borderId="7" xfId="0" applyNumberFormat="1" applyFont="1" applyBorder="1"/>
    <xf numFmtId="3" fontId="5" fillId="0" borderId="8" xfId="0" applyNumberFormat="1" applyFont="1" applyBorder="1"/>
    <xf numFmtId="3" fontId="6" fillId="0" borderId="9" xfId="0" applyNumberFormat="1" applyFont="1" applyBorder="1" applyAlignment="1">
      <alignment horizontal="left"/>
    </xf>
    <xf numFmtId="4" fontId="6" fillId="0" borderId="6" xfId="0" applyNumberFormat="1" applyFont="1" applyBorder="1"/>
    <xf numFmtId="4" fontId="6" fillId="0" borderId="7" xfId="0" applyNumberFormat="1" applyFont="1" applyBorder="1"/>
    <xf numFmtId="4" fontId="6" fillId="0" borderId="8" xfId="0" applyNumberFormat="1" applyFont="1" applyBorder="1"/>
    <xf numFmtId="4" fontId="6" fillId="0" borderId="6" xfId="0" applyNumberFormat="1" applyFont="1" applyBorder="1" applyAlignment="1">
      <alignment horizontal="left"/>
    </xf>
    <xf numFmtId="4" fontId="6" fillId="0" borderId="9" xfId="0" applyNumberFormat="1" applyFont="1" applyBorder="1" applyAlignment="1">
      <alignment horizontal="left"/>
    </xf>
    <xf numFmtId="4" fontId="6" fillId="0" borderId="10" xfId="0" applyNumberFormat="1" applyFont="1" applyBorder="1"/>
    <xf numFmtId="0" fontId="7" fillId="0" borderId="0" xfId="0" applyFont="1" applyAlignment="1">
      <alignment vertical="top"/>
    </xf>
    <xf numFmtId="3" fontId="6" fillId="0" borderId="6" xfId="1" applyNumberFormat="1" applyFont="1" applyFill="1" applyBorder="1"/>
    <xf numFmtId="4" fontId="4" fillId="0" borderId="5" xfId="0" applyNumberFormat="1" applyFont="1" applyBorder="1"/>
    <xf numFmtId="4" fontId="6" fillId="0" borderId="5" xfId="0" applyNumberFormat="1" applyFont="1" applyBorder="1"/>
    <xf numFmtId="4" fontId="5" fillId="4" borderId="13" xfId="0" quotePrefix="1" applyNumberFormat="1" applyFont="1" applyFill="1" applyBorder="1" applyAlignment="1">
      <alignment horizontal="center"/>
    </xf>
    <xf numFmtId="0" fontId="8" fillId="0" borderId="0" xfId="0" applyFont="1"/>
    <xf numFmtId="4" fontId="9" fillId="0" borderId="5" xfId="0" applyNumberFormat="1" applyFont="1" applyBorder="1"/>
    <xf numFmtId="0" fontId="2" fillId="0" borderId="0" xfId="0" applyFont="1"/>
    <xf numFmtId="4" fontId="6" fillId="0" borderId="17" xfId="0" applyNumberFormat="1" applyFont="1" applyBorder="1"/>
    <xf numFmtId="4" fontId="6" fillId="0" borderId="18" xfId="0" applyNumberFormat="1" applyFont="1" applyBorder="1"/>
    <xf numFmtId="4" fontId="5" fillId="0" borderId="17" xfId="0" applyNumberFormat="1" applyFont="1" applyBorder="1"/>
    <xf numFmtId="4" fontId="5" fillId="0" borderId="18" xfId="0" applyNumberFormat="1" applyFont="1" applyBorder="1"/>
    <xf numFmtId="4" fontId="0" fillId="0" borderId="0" xfId="0" applyNumberFormat="1"/>
    <xf numFmtId="3" fontId="6" fillId="6" borderId="6" xfId="0" applyNumberFormat="1" applyFont="1" applyFill="1" applyBorder="1"/>
    <xf numFmtId="3" fontId="6" fillId="6" borderId="6" xfId="1" applyNumberFormat="1" applyFont="1" applyFill="1" applyBorder="1"/>
    <xf numFmtId="4" fontId="6" fillId="7" borderId="6" xfId="0" applyNumberFormat="1" applyFont="1" applyFill="1" applyBorder="1"/>
    <xf numFmtId="4" fontId="6" fillId="7" borderId="7" xfId="0" applyNumberFormat="1" applyFont="1" applyFill="1" applyBorder="1"/>
    <xf numFmtId="4" fontId="6" fillId="7" borderId="8" xfId="0" applyNumberFormat="1" applyFont="1" applyFill="1" applyBorder="1"/>
    <xf numFmtId="4" fontId="6" fillId="7" borderId="6" xfId="4" applyNumberFormat="1" applyFont="1" applyFill="1" applyBorder="1"/>
    <xf numFmtId="4" fontId="6" fillId="7" borderId="7" xfId="4" applyNumberFormat="1" applyFont="1" applyFill="1" applyBorder="1"/>
    <xf numFmtId="4" fontId="6" fillId="7" borderId="8" xfId="4" applyNumberFormat="1" applyFont="1" applyFill="1" applyBorder="1"/>
    <xf numFmtId="0" fontId="0" fillId="6" borderId="0" xfId="0" applyFill="1"/>
    <xf numFmtId="0" fontId="2" fillId="6" borderId="0" xfId="0" applyFont="1" applyFill="1"/>
    <xf numFmtId="4" fontId="5" fillId="4" borderId="12" xfId="0" quotePrefix="1" applyNumberFormat="1" applyFont="1" applyFill="1" applyBorder="1" applyAlignment="1">
      <alignment horizontal="center"/>
    </xf>
    <xf numFmtId="3" fontId="6" fillId="0" borderId="19" xfId="0" applyNumberFormat="1" applyFont="1" applyBorder="1"/>
    <xf numFmtId="3" fontId="1" fillId="3" borderId="6" xfId="3" applyNumberFormat="1" applyBorder="1"/>
    <xf numFmtId="0" fontId="2" fillId="8" borderId="0" xfId="0" applyFont="1" applyFill="1"/>
    <xf numFmtId="0" fontId="2" fillId="5" borderId="0" xfId="0" applyFont="1" applyFill="1"/>
    <xf numFmtId="0" fontId="2" fillId="7" borderId="0" xfId="0" applyFont="1" applyFill="1"/>
    <xf numFmtId="4" fontId="1" fillId="3" borderId="6" xfId="3" applyNumberFormat="1" applyBorder="1"/>
    <xf numFmtId="4" fontId="1" fillId="3" borderId="7" xfId="3" applyNumberFormat="1" applyBorder="1"/>
    <xf numFmtId="4" fontId="1" fillId="3" borderId="8" xfId="3" applyNumberFormat="1" applyBorder="1"/>
    <xf numFmtId="4" fontId="2" fillId="0" borderId="0" xfId="0" applyNumberFormat="1" applyFont="1"/>
    <xf numFmtId="0" fontId="2" fillId="3" borderId="0" xfId="3" applyFont="1"/>
    <xf numFmtId="0" fontId="2" fillId="2" borderId="0" xfId="2" applyFont="1"/>
    <xf numFmtId="4" fontId="2" fillId="3" borderId="6" xfId="3" applyNumberFormat="1" applyFont="1" applyBorder="1"/>
    <xf numFmtId="3" fontId="2" fillId="2" borderId="6" xfId="2" applyNumberFormat="1" applyFont="1" applyBorder="1"/>
    <xf numFmtId="4" fontId="13" fillId="0" borderId="1" xfId="0" applyNumberFormat="1" applyFont="1" applyBorder="1"/>
    <xf numFmtId="0" fontId="11" fillId="9" borderId="0" xfId="0" applyFont="1" applyFill="1"/>
    <xf numFmtId="3" fontId="1" fillId="6" borderId="6" xfId="3" applyNumberFormat="1" applyFill="1" applyBorder="1"/>
    <xf numFmtId="3" fontId="2" fillId="6" borderId="6" xfId="2" applyNumberFormat="1" applyFont="1" applyFill="1" applyBorder="1"/>
    <xf numFmtId="4" fontId="5" fillId="7" borderId="15" xfId="0" applyNumberFormat="1" applyFont="1" applyFill="1" applyBorder="1" applyAlignment="1">
      <alignment horizontal="centerContinuous" vertical="center"/>
    </xf>
    <xf numFmtId="4" fontId="5" fillId="7" borderId="16" xfId="0" applyNumberFormat="1" applyFont="1" applyFill="1" applyBorder="1" applyAlignment="1">
      <alignment horizontal="centerContinuous" vertical="center"/>
    </xf>
    <xf numFmtId="4" fontId="5" fillId="5" borderId="15" xfId="0" applyNumberFormat="1" applyFont="1" applyFill="1" applyBorder="1" applyAlignment="1">
      <alignment horizontal="centerContinuous" vertical="center"/>
    </xf>
    <xf numFmtId="4" fontId="3" fillId="5" borderId="11" xfId="0" applyNumberFormat="1" applyFont="1" applyFill="1" applyBorder="1"/>
    <xf numFmtId="4" fontId="5" fillId="5" borderId="2" xfId="0" applyNumberFormat="1" applyFont="1" applyFill="1" applyBorder="1" applyAlignment="1">
      <alignment horizontal="centerContinuous" vertical="center"/>
    </xf>
    <xf numFmtId="4" fontId="3" fillId="5" borderId="2" xfId="0" applyNumberFormat="1" applyFont="1" applyFill="1" applyBorder="1" applyAlignment="1">
      <alignment horizontal="center"/>
    </xf>
    <xf numFmtId="0" fontId="14" fillId="0" borderId="21" xfId="5"/>
    <xf numFmtId="4" fontId="5" fillId="7" borderId="0" xfId="4" applyNumberFormat="1" applyFont="1" applyFill="1" applyBorder="1"/>
    <xf numFmtId="0" fontId="3" fillId="0" borderId="22" xfId="0" applyFont="1" applyBorder="1"/>
    <xf numFmtId="0" fontId="3" fillId="0" borderId="0" xfId="0" applyFont="1"/>
    <xf numFmtId="0" fontId="4" fillId="0" borderId="0" xfId="0" applyFont="1"/>
    <xf numFmtId="0" fontId="0" fillId="0" borderId="0" xfId="0" quotePrefix="1"/>
    <xf numFmtId="4" fontId="6" fillId="0" borderId="0" xfId="0" applyNumberFormat="1" applyFont="1"/>
    <xf numFmtId="4" fontId="5" fillId="7" borderId="0" xfId="0" applyNumberFormat="1" applyFont="1" applyFill="1"/>
    <xf numFmtId="4" fontId="4" fillId="0" borderId="1" xfId="0" applyNumberFormat="1" applyFont="1" applyBorder="1" applyAlignment="1">
      <alignment horizontal="left"/>
    </xf>
    <xf numFmtId="4" fontId="4" fillId="0" borderId="0" xfId="0" applyNumberFormat="1" applyFont="1" applyAlignment="1">
      <alignment horizontal="centerContinuous" vertical="center"/>
    </xf>
    <xf numFmtId="4" fontId="6" fillId="0" borderId="5" xfId="0" quotePrefix="1" applyNumberFormat="1" applyFont="1" applyBorder="1" applyAlignment="1">
      <alignment horizontal="left"/>
    </xf>
    <xf numFmtId="4" fontId="5" fillId="4" borderId="25" xfId="0" quotePrefix="1" applyNumberFormat="1" applyFont="1" applyFill="1" applyBorder="1" applyAlignment="1">
      <alignment horizontal="left"/>
    </xf>
    <xf numFmtId="4" fontId="5" fillId="0" borderId="26" xfId="0" applyNumberFormat="1" applyFont="1" applyBorder="1"/>
    <xf numFmtId="4" fontId="3" fillId="0" borderId="0" xfId="0" applyNumberFormat="1" applyFont="1"/>
    <xf numFmtId="4" fontId="2" fillId="6" borderId="0" xfId="0" applyNumberFormat="1" applyFont="1" applyFill="1"/>
    <xf numFmtId="4" fontId="5" fillId="11" borderId="5" xfId="0" quotePrefix="1" applyNumberFormat="1" applyFont="1" applyFill="1" applyBorder="1" applyAlignment="1">
      <alignment horizontal="left"/>
    </xf>
    <xf numFmtId="4" fontId="20" fillId="0" borderId="1" xfId="0" applyNumberFormat="1" applyFont="1" applyBorder="1" applyAlignment="1">
      <alignment horizontal="left"/>
    </xf>
    <xf numFmtId="0" fontId="21" fillId="0" borderId="22" xfId="0" applyFont="1" applyBorder="1"/>
    <xf numFmtId="0" fontId="4" fillId="0" borderId="0" xfId="0" applyFont="1" applyAlignment="1">
      <alignment wrapText="1"/>
    </xf>
    <xf numFmtId="0" fontId="3" fillId="0" borderId="22" xfId="0" applyFont="1" applyBorder="1" applyAlignment="1">
      <alignment wrapText="1"/>
    </xf>
    <xf numFmtId="4" fontId="2" fillId="5" borderId="23" xfId="7" applyNumberFormat="1" applyFont="1" applyFill="1"/>
    <xf numFmtId="4" fontId="2" fillId="6" borderId="23" xfId="7" applyNumberFormat="1" applyFont="1" applyFill="1"/>
    <xf numFmtId="0" fontId="2" fillId="5" borderId="23" xfId="7" applyFont="1" applyFill="1"/>
    <xf numFmtId="4" fontId="2" fillId="13" borderId="23" xfId="7" applyNumberFormat="1" applyFont="1" applyFill="1"/>
    <xf numFmtId="0" fontId="2" fillId="13" borderId="23" xfId="7" applyFont="1" applyFill="1"/>
    <xf numFmtId="0" fontId="2" fillId="5" borderId="23" xfId="7" applyFont="1" applyFill="1" applyAlignment="1">
      <alignment wrapText="1"/>
    </xf>
    <xf numFmtId="0" fontId="2" fillId="13" borderId="23" xfId="7" applyFont="1" applyFill="1" applyAlignment="1">
      <alignment wrapText="1"/>
    </xf>
    <xf numFmtId="0" fontId="2" fillId="13" borderId="24" xfId="6" applyFont="1" applyFill="1"/>
    <xf numFmtId="0" fontId="0" fillId="6" borderId="24" xfId="6" applyFont="1" applyFill="1"/>
    <xf numFmtId="4" fontId="1" fillId="6" borderId="23" xfId="7" applyNumberFormat="1" applyFont="1" applyFill="1"/>
    <xf numFmtId="0" fontId="1" fillId="6" borderId="23" xfId="7" applyFont="1" applyFill="1"/>
    <xf numFmtId="0" fontId="2" fillId="6" borderId="23" xfId="7" applyFont="1" applyFill="1"/>
    <xf numFmtId="0" fontId="0" fillId="6" borderId="23" xfId="7" applyFont="1" applyFill="1" applyAlignment="1">
      <alignment wrapText="1"/>
    </xf>
    <xf numFmtId="0" fontId="0" fillId="6" borderId="23" xfId="7" applyFont="1" applyFill="1"/>
    <xf numFmtId="0" fontId="19" fillId="6" borderId="23" xfId="7" applyFill="1"/>
    <xf numFmtId="0" fontId="2" fillId="6" borderId="23" xfId="7" applyFont="1" applyFill="1" applyAlignment="1">
      <alignment wrapText="1"/>
    </xf>
    <xf numFmtId="0" fontId="2" fillId="6" borderId="23" xfId="7" applyFont="1" applyFill="1" applyAlignment="1"/>
    <xf numFmtId="4" fontId="2" fillId="6" borderId="23" xfId="7" applyNumberFormat="1" applyFont="1" applyFill="1" applyAlignment="1">
      <alignment horizontal="centerContinuous" vertical="center"/>
    </xf>
    <xf numFmtId="4" fontId="3" fillId="6" borderId="1" xfId="0" applyNumberFormat="1" applyFont="1" applyFill="1" applyBorder="1" applyAlignment="1">
      <alignment horizontal="left"/>
    </xf>
    <xf numFmtId="4" fontId="20" fillId="6" borderId="1" xfId="0" applyNumberFormat="1" applyFont="1" applyFill="1" applyBorder="1" applyAlignment="1">
      <alignment horizontal="left"/>
    </xf>
    <xf numFmtId="4" fontId="2" fillId="6" borderId="23" xfId="7" applyNumberFormat="1" applyFont="1" applyFill="1" applyAlignment="1">
      <alignment horizontal="left" vertical="center"/>
    </xf>
    <xf numFmtId="4" fontId="2" fillId="6" borderId="23" xfId="7" applyNumberFormat="1" applyFont="1" applyFill="1" applyAlignment="1">
      <alignment horizontal="left"/>
    </xf>
    <xf numFmtId="164" fontId="2" fillId="6" borderId="23" xfId="7" applyNumberFormat="1" applyFont="1" applyFill="1" applyProtection="1"/>
    <xf numFmtId="164" fontId="2" fillId="6" borderId="23" xfId="7" applyNumberFormat="1" applyFont="1" applyFill="1"/>
    <xf numFmtId="164" fontId="2" fillId="6" borderId="23" xfId="7" applyNumberFormat="1" applyFont="1" applyFill="1" applyAlignment="1">
      <alignment horizontal="right"/>
    </xf>
    <xf numFmtId="4" fontId="2" fillId="15" borderId="23" xfId="7" applyNumberFormat="1" applyFont="1" applyFill="1"/>
    <xf numFmtId="0" fontId="14" fillId="15" borderId="21" xfId="5" applyFill="1"/>
    <xf numFmtId="0" fontId="2" fillId="15" borderId="23" xfId="7" applyFont="1" applyFill="1" applyAlignment="1">
      <alignment wrapText="1"/>
    </xf>
    <xf numFmtId="0" fontId="2" fillId="15" borderId="23" xfId="7" applyFont="1" applyFill="1"/>
    <xf numFmtId="0" fontId="14" fillId="0" borderId="0" xfId="5" applyBorder="1" applyAlignment="1">
      <alignment horizontal="center"/>
    </xf>
    <xf numFmtId="0" fontId="1" fillId="6" borderId="23" xfId="3" applyFill="1" applyBorder="1"/>
    <xf numFmtId="0" fontId="2" fillId="6" borderId="23" xfId="3" applyFont="1" applyFill="1" applyBorder="1"/>
    <xf numFmtId="3" fontId="1" fillId="6" borderId="23" xfId="3" applyNumberFormat="1" applyFill="1" applyBorder="1"/>
    <xf numFmtId="3" fontId="2" fillId="6" borderId="23" xfId="3" applyNumberFormat="1" applyFont="1" applyFill="1" applyBorder="1"/>
    <xf numFmtId="4" fontId="1" fillId="6" borderId="23" xfId="3" applyNumberFormat="1" applyFill="1" applyBorder="1"/>
    <xf numFmtId="4" fontId="2" fillId="6" borderId="23" xfId="3" applyNumberFormat="1" applyFont="1" applyFill="1" applyBorder="1"/>
    <xf numFmtId="4" fontId="0" fillId="6" borderId="23" xfId="3" applyNumberFormat="1" applyFont="1" applyFill="1" applyBorder="1"/>
    <xf numFmtId="3" fontId="0" fillId="6" borderId="23" xfId="3" applyNumberFormat="1" applyFont="1" applyFill="1" applyBorder="1"/>
    <xf numFmtId="0" fontId="0" fillId="6" borderId="23" xfId="3" applyFont="1" applyFill="1" applyBorder="1"/>
    <xf numFmtId="0" fontId="23" fillId="6" borderId="23" xfId="7" applyFont="1" applyFill="1"/>
    <xf numFmtId="3" fontId="23" fillId="6" borderId="23" xfId="7" applyNumberFormat="1" applyFont="1" applyFill="1"/>
    <xf numFmtId="4" fontId="23" fillId="6" borderId="23" xfId="7" applyNumberFormat="1" applyFont="1" applyFill="1"/>
    <xf numFmtId="4" fontId="2" fillId="6" borderId="23" xfId="3" applyNumberFormat="1" applyFont="1" applyFill="1" applyBorder="1" applyAlignment="1">
      <alignment wrapText="1"/>
    </xf>
    <xf numFmtId="0" fontId="24" fillId="6" borderId="23" xfId="7" applyFont="1" applyFill="1"/>
    <xf numFmtId="0" fontId="0" fillId="0" borderId="0" xfId="0" applyAlignment="1">
      <alignment vertical="center" wrapText="1"/>
    </xf>
    <xf numFmtId="0" fontId="2" fillId="6" borderId="23" xfId="7" applyFont="1" applyFill="1" applyAlignment="1">
      <alignment horizontal="center" wrapText="1"/>
    </xf>
    <xf numFmtId="0" fontId="1" fillId="6" borderId="23" xfId="7" applyFont="1" applyFill="1" applyAlignment="1"/>
    <xf numFmtId="0" fontId="1" fillId="6" borderId="23" xfId="7" applyFont="1" applyFill="1" applyAlignment="1">
      <alignment vertical="center" wrapText="1"/>
    </xf>
    <xf numFmtId="0" fontId="1" fillId="6" borderId="23" xfId="7" applyFont="1" applyFill="1" applyAlignment="1">
      <alignment horizontal="center"/>
    </xf>
    <xf numFmtId="0" fontId="2" fillId="17" borderId="23" xfId="7" applyFont="1" applyFill="1"/>
    <xf numFmtId="4" fontId="2" fillId="12" borderId="23" xfId="7" applyNumberFormat="1" applyFont="1"/>
    <xf numFmtId="4" fontId="1" fillId="12" borderId="23" xfId="7" applyNumberFormat="1" applyFont="1"/>
    <xf numFmtId="0" fontId="2" fillId="6" borderId="27" xfId="7" applyFont="1" applyFill="1" applyBorder="1"/>
    <xf numFmtId="4" fontId="2" fillId="6" borderId="23" xfId="7" applyNumberFormat="1" applyFont="1" applyFill="1" applyAlignment="1"/>
    <xf numFmtId="4" fontId="1" fillId="6" borderId="23" xfId="7" applyNumberFormat="1" applyFont="1" applyFill="1" applyAlignment="1"/>
    <xf numFmtId="0" fontId="2" fillId="16" borderId="23" xfId="7" applyFont="1" applyFill="1"/>
    <xf numFmtId="4" fontId="2" fillId="16" borderId="23" xfId="7" applyNumberFormat="1" applyFont="1" applyFill="1"/>
    <xf numFmtId="3" fontId="1" fillId="6" borderId="23" xfId="7" applyNumberFormat="1" applyFont="1" applyFill="1"/>
    <xf numFmtId="0" fontId="1" fillId="6" borderId="23" xfId="7" applyFont="1" applyFill="1" applyAlignment="1">
      <alignment wrapText="1"/>
    </xf>
    <xf numFmtId="3" fontId="0" fillId="6" borderId="23" xfId="7" applyNumberFormat="1" applyFont="1" applyFill="1"/>
    <xf numFmtId="0" fontId="2" fillId="13" borderId="0" xfId="0" applyFont="1" applyFill="1"/>
    <xf numFmtId="0" fontId="2" fillId="14" borderId="0" xfId="0" applyFont="1" applyFill="1"/>
    <xf numFmtId="0" fontId="2" fillId="18" borderId="23" xfId="7" applyFont="1" applyFill="1"/>
    <xf numFmtId="3" fontId="2" fillId="6" borderId="23" xfId="7" applyNumberFormat="1" applyFont="1" applyFill="1"/>
    <xf numFmtId="4" fontId="0" fillId="6" borderId="23" xfId="7" applyNumberFormat="1" applyFont="1" applyFill="1"/>
    <xf numFmtId="4" fontId="0" fillId="6" borderId="23" xfId="7" applyNumberFormat="1" applyFont="1" applyFill="1" applyAlignment="1">
      <alignment horizontal="left" vertical="center"/>
    </xf>
    <xf numFmtId="4" fontId="0" fillId="6" borderId="23" xfId="7" applyNumberFormat="1" applyFont="1" applyFill="1" applyAlignment="1">
      <alignment horizontal="left"/>
    </xf>
    <xf numFmtId="166" fontId="2" fillId="6" borderId="23" xfId="7" applyNumberFormat="1" applyFont="1" applyFill="1"/>
    <xf numFmtId="166" fontId="2" fillId="6" borderId="23" xfId="7" applyNumberFormat="1" applyFont="1" applyFill="1" applyAlignment="1"/>
    <xf numFmtId="164" fontId="19" fillId="6" borderId="23" xfId="7" applyNumberFormat="1" applyFill="1"/>
    <xf numFmtId="164" fontId="19" fillId="6" borderId="23" xfId="7" applyNumberFormat="1" applyFill="1" applyProtection="1"/>
    <xf numFmtId="164" fontId="2" fillId="6" borderId="23" xfId="7" applyNumberFormat="1" applyFont="1" applyFill="1" applyAlignment="1">
      <alignment horizontal="left"/>
    </xf>
    <xf numFmtId="164" fontId="2" fillId="6" borderId="23" xfId="7" applyNumberFormat="1" applyFont="1" applyFill="1" applyAlignment="1">
      <alignment horizontal="centerContinuous" vertical="center"/>
    </xf>
    <xf numFmtId="164" fontId="2" fillId="6" borderId="23" xfId="7" applyNumberFormat="1" applyFont="1" applyFill="1" applyAlignment="1"/>
    <xf numFmtId="167" fontId="2" fillId="6" borderId="23" xfId="7" applyNumberFormat="1" applyFont="1" applyFill="1"/>
    <xf numFmtId="167" fontId="2" fillId="6" borderId="23" xfId="7" applyNumberFormat="1" applyFont="1" applyFill="1" applyProtection="1"/>
    <xf numFmtId="164" fontId="1" fillId="6" borderId="23" xfId="7" applyNumberFormat="1" applyFont="1" applyFill="1" applyProtection="1"/>
    <xf numFmtId="164" fontId="1" fillId="6" borderId="23" xfId="7" applyNumberFormat="1" applyFont="1" applyFill="1"/>
    <xf numFmtId="164" fontId="1" fillId="6" borderId="23" xfId="7" applyNumberFormat="1" applyFont="1" applyFill="1" applyAlignment="1">
      <alignment horizontal="right"/>
    </xf>
    <xf numFmtId="164" fontId="2" fillId="6" borderId="23" xfId="7" applyNumberFormat="1" applyFont="1" applyFill="1" applyAlignment="1" applyProtection="1"/>
    <xf numFmtId="164" fontId="2" fillId="18" borderId="23" xfId="7" applyNumberFormat="1" applyFont="1" applyFill="1" applyAlignment="1"/>
    <xf numFmtId="164" fontId="2" fillId="18" borderId="23" xfId="7" applyNumberFormat="1" applyFont="1" applyFill="1"/>
    <xf numFmtId="164" fontId="0" fillId="6" borderId="23" xfId="7" applyNumberFormat="1" applyFont="1" applyFill="1"/>
    <xf numFmtId="0" fontId="2" fillId="6" borderId="23" xfId="7" applyNumberFormat="1" applyFont="1" applyFill="1" applyProtection="1"/>
    <xf numFmtId="4" fontId="2" fillId="6" borderId="23" xfId="7" applyNumberFormat="1" applyFont="1" applyFill="1" applyAlignment="1">
      <alignment vertical="center"/>
    </xf>
    <xf numFmtId="164" fontId="2" fillId="6" borderId="23" xfId="7" applyNumberFormat="1" applyFont="1" applyFill="1" applyAlignment="1">
      <alignment wrapText="1"/>
    </xf>
    <xf numFmtId="164" fontId="2" fillId="18" borderId="23" xfId="7" applyNumberFormat="1" applyFont="1" applyFill="1" applyAlignment="1">
      <alignment horizontal="left" vertical="center" wrapText="1"/>
    </xf>
    <xf numFmtId="164" fontId="2" fillId="16" borderId="23" xfId="7" applyNumberFormat="1" applyFont="1" applyFill="1"/>
    <xf numFmtId="168" fontId="2" fillId="6" borderId="23" xfId="7" applyNumberFormat="1" applyFont="1" applyFill="1"/>
    <xf numFmtId="169" fontId="2" fillId="6" borderId="23" xfId="7" applyNumberFormat="1" applyFont="1" applyFill="1"/>
    <xf numFmtId="4" fontId="2" fillId="19" borderId="23" xfId="7" applyNumberFormat="1" applyFont="1" applyFill="1"/>
    <xf numFmtId="0" fontId="2" fillId="11" borderId="23" xfId="7" applyFont="1" applyFill="1"/>
    <xf numFmtId="4" fontId="2" fillId="11" borderId="23" xfId="7" applyNumberFormat="1" applyFont="1" applyFill="1"/>
    <xf numFmtId="4" fontId="2" fillId="17" borderId="23" xfId="7" applyNumberFormat="1" applyFont="1" applyFill="1"/>
    <xf numFmtId="168" fontId="1" fillId="6" borderId="23" xfId="7" applyNumberFormat="1" applyFont="1" applyFill="1"/>
    <xf numFmtId="166" fontId="1" fillId="6" borderId="23" xfId="7" applyNumberFormat="1" applyFont="1" applyFill="1"/>
    <xf numFmtId="169" fontId="1" fillId="6" borderId="23" xfId="7" applyNumberFormat="1" applyFont="1" applyFill="1"/>
    <xf numFmtId="4" fontId="1" fillId="6" borderId="23" xfId="7" quotePrefix="1" applyNumberFormat="1" applyFont="1" applyFill="1"/>
    <xf numFmtId="169" fontId="0" fillId="6" borderId="23" xfId="7" applyNumberFormat="1" applyFont="1" applyFill="1"/>
    <xf numFmtId="4" fontId="0" fillId="6" borderId="23" xfId="7" applyNumberFormat="1" applyFont="1" applyFill="1" applyAlignment="1"/>
    <xf numFmtId="4" fontId="2" fillId="20" borderId="23" xfId="7" applyNumberFormat="1" applyFont="1" applyFill="1"/>
    <xf numFmtId="4" fontId="0" fillId="6" borderId="23" xfId="7" quotePrefix="1" applyNumberFormat="1" applyFont="1" applyFill="1" applyAlignment="1">
      <alignment horizontal="left"/>
    </xf>
    <xf numFmtId="4" fontId="25" fillId="6" borderId="23" xfId="7" applyNumberFormat="1" applyFont="1" applyFill="1" applyAlignment="1">
      <alignment horizontal="left" wrapText="1"/>
    </xf>
    <xf numFmtId="0" fontId="2" fillId="21" borderId="28" xfId="0" applyFont="1" applyFill="1" applyBorder="1"/>
    <xf numFmtId="0" fontId="0" fillId="0" borderId="29" xfId="0" applyBorder="1"/>
    <xf numFmtId="0" fontId="26" fillId="0" borderId="28" xfId="0" applyFont="1" applyBorder="1"/>
    <xf numFmtId="0" fontId="2" fillId="22" borderId="28" xfId="0" applyFont="1" applyFill="1" applyBorder="1"/>
    <xf numFmtId="0" fontId="0" fillId="0" borderId="30" xfId="0" applyBorder="1"/>
    <xf numFmtId="0" fontId="0" fillId="0" borderId="31" xfId="0" applyBorder="1"/>
    <xf numFmtId="0" fontId="27" fillId="22" borderId="32" xfId="0" applyFont="1" applyFill="1" applyBorder="1"/>
    <xf numFmtId="0" fontId="0" fillId="0" borderId="28" xfId="0" applyBorder="1"/>
    <xf numFmtId="0" fontId="2" fillId="9" borderId="28" xfId="0" applyFont="1" applyFill="1" applyBorder="1"/>
    <xf numFmtId="0" fontId="0" fillId="23" borderId="33" xfId="0" applyFill="1" applyBorder="1"/>
    <xf numFmtId="0" fontId="0" fillId="23" borderId="34" xfId="0" applyFill="1" applyBorder="1"/>
    <xf numFmtId="0" fontId="0" fillId="6" borderId="33" xfId="0" applyFill="1" applyBorder="1"/>
    <xf numFmtId="0" fontId="0" fillId="6" borderId="34" xfId="0" applyFill="1" applyBorder="1"/>
    <xf numFmtId="0" fontId="0" fillId="24" borderId="34" xfId="0" applyFill="1" applyBorder="1"/>
    <xf numFmtId="0" fontId="0" fillId="23" borderId="35" xfId="0" applyFill="1" applyBorder="1"/>
    <xf numFmtId="0" fontId="0" fillId="23" borderId="36" xfId="0" applyFill="1" applyBorder="1"/>
    <xf numFmtId="4" fontId="0" fillId="23" borderId="34" xfId="0" applyNumberFormat="1" applyFill="1" applyBorder="1"/>
    <xf numFmtId="4" fontId="0" fillId="23" borderId="34" xfId="0" applyNumberFormat="1" applyFill="1" applyBorder="1" applyAlignment="1">
      <alignment wrapText="1"/>
    </xf>
    <xf numFmtId="4" fontId="13" fillId="0" borderId="1" xfId="0" applyNumberFormat="1" applyFont="1" applyBorder="1" applyAlignment="1">
      <alignment horizontal="center"/>
    </xf>
    <xf numFmtId="4" fontId="3" fillId="5" borderId="3" xfId="0" applyNumberFormat="1" applyFont="1" applyFill="1" applyBorder="1" applyAlignment="1">
      <alignment horizontal="center"/>
    </xf>
    <xf numFmtId="4" fontId="3" fillId="5" borderId="20" xfId="0" applyNumberFormat="1" applyFont="1" applyFill="1" applyBorder="1" applyAlignment="1">
      <alignment horizontal="center"/>
    </xf>
    <xf numFmtId="4" fontId="5" fillId="4" borderId="14" xfId="0" quotePrefix="1" applyNumberFormat="1" applyFont="1" applyFill="1" applyBorder="1" applyAlignment="1">
      <alignment horizontal="center"/>
    </xf>
    <xf numFmtId="4" fontId="5" fillId="4" borderId="13" xfId="0" quotePrefix="1" applyNumberFormat="1" applyFont="1" applyFill="1" applyBorder="1" applyAlignment="1">
      <alignment horizontal="center"/>
    </xf>
    <xf numFmtId="3" fontId="6" fillId="0" borderId="14" xfId="0" applyNumberFormat="1" applyFont="1" applyBorder="1" applyAlignment="1">
      <alignment horizontal="center"/>
    </xf>
    <xf numFmtId="3" fontId="6" fillId="0" borderId="13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3" fontId="6" fillId="0" borderId="14" xfId="0" applyNumberFormat="1" applyFont="1" applyBorder="1" applyAlignment="1">
      <alignment horizontal="left"/>
    </xf>
    <xf numFmtId="3" fontId="6" fillId="0" borderId="13" xfId="0" applyNumberFormat="1" applyFont="1" applyBorder="1" applyAlignment="1">
      <alignment horizontal="left"/>
    </xf>
    <xf numFmtId="0" fontId="17" fillId="0" borderId="0" xfId="0" applyFont="1" applyAlignment="1">
      <alignment horizontal="center" wrapText="1"/>
    </xf>
    <xf numFmtId="4" fontId="3" fillId="5" borderId="4" xfId="0" applyNumberFormat="1" applyFont="1" applyFill="1" applyBorder="1" applyAlignment="1">
      <alignment horizontal="center"/>
    </xf>
    <xf numFmtId="0" fontId="2" fillId="6" borderId="23" xfId="7" applyFont="1" applyFill="1" applyAlignment="1">
      <alignment horizontal="center"/>
    </xf>
    <xf numFmtId="4" fontId="2" fillId="6" borderId="23" xfId="7" applyNumberFormat="1" applyFont="1" applyFill="1" applyAlignment="1">
      <alignment horizontal="center"/>
    </xf>
    <xf numFmtId="4" fontId="13" fillId="0" borderId="1" xfId="0" applyNumberFormat="1" applyFont="1" applyBorder="1" applyAlignment="1"/>
  </cellXfs>
  <cellStyles count="8">
    <cellStyle name="20% - Colore 3" xfId="2" builtinId="38"/>
    <cellStyle name="40% - Colore 3" xfId="3" builtinId="39"/>
    <cellStyle name="Calcolo" xfId="7" builtinId="22"/>
    <cellStyle name="Euro" xfId="4" xr:uid="{FC9985CB-D99E-4EA1-910B-00B4BD1C280D}"/>
    <cellStyle name="Migliaia [0]" xfId="1" builtinId="6"/>
    <cellStyle name="Normale" xfId="0" builtinId="0"/>
    <cellStyle name="Nota" xfId="6" builtinId="10"/>
    <cellStyle name="Titolo 2" xfId="5" builtinId="17"/>
  </cellStyles>
  <dxfs count="0"/>
  <tableStyles count="0" defaultTableStyle="TableStyleMedium2" defaultPivotStyle="PivotStyleLight16"/>
  <colors>
    <mruColors>
      <color rgb="FFF48EB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60B0-0C7D-4231-9118-456ECB1F349D}">
  <dimension ref="A1:AC169"/>
  <sheetViews>
    <sheetView topLeftCell="A150" zoomScale="85" zoomScaleNormal="85" workbookViewId="0">
      <selection activeCell="B162" sqref="B162"/>
    </sheetView>
  </sheetViews>
  <sheetFormatPr defaultRowHeight="14.45"/>
  <cols>
    <col min="1" max="1" width="29.140625" customWidth="1"/>
    <col min="2" max="2" width="28.28515625" customWidth="1"/>
    <col min="3" max="3" width="20" customWidth="1"/>
    <col min="4" max="4" width="21.85546875" customWidth="1"/>
    <col min="5" max="5" width="22.85546875" customWidth="1"/>
    <col min="6" max="6" width="18.28515625" customWidth="1"/>
    <col min="7" max="7" width="19.7109375" customWidth="1"/>
    <col min="8" max="8" width="14.7109375" customWidth="1"/>
    <col min="9" max="9" width="15.7109375" customWidth="1"/>
    <col min="10" max="10" width="14.85546875" customWidth="1"/>
    <col min="11" max="11" width="16.7109375" customWidth="1"/>
    <col min="12" max="12" width="13.7109375" customWidth="1"/>
    <col min="13" max="13" width="14.42578125" customWidth="1"/>
    <col min="14" max="14" width="15.85546875" customWidth="1"/>
    <col min="15" max="15" width="14.7109375" customWidth="1"/>
    <col min="16" max="16" width="17.7109375" customWidth="1"/>
    <col min="17" max="17" width="20.42578125" customWidth="1"/>
    <col min="18" max="18" width="21.28515625" customWidth="1"/>
    <col min="19" max="19" width="20.28515625" customWidth="1"/>
    <col min="20" max="20" width="16.7109375" customWidth="1"/>
    <col min="21" max="21" width="20.42578125" customWidth="1"/>
    <col min="22" max="22" width="16.42578125" customWidth="1"/>
    <col min="23" max="23" width="21.7109375" customWidth="1"/>
    <col min="24" max="24" width="26.28515625" customWidth="1"/>
    <col min="25" max="26" width="15.7109375" customWidth="1"/>
    <col min="27" max="27" width="13.85546875" customWidth="1"/>
    <col min="28" max="28" width="9.7109375" bestFit="1" customWidth="1"/>
    <col min="29" max="29" width="16.28515625" customWidth="1"/>
    <col min="30" max="30" width="8.85546875" customWidth="1"/>
  </cols>
  <sheetData>
    <row r="1" spans="1:28" ht="24.6">
      <c r="A1" s="3"/>
      <c r="B1" s="18" t="s">
        <v>0</v>
      </c>
      <c r="C1" s="18"/>
      <c r="D1" s="18"/>
      <c r="E1" s="18"/>
      <c r="F1" s="1"/>
      <c r="G1" s="2"/>
      <c r="H1" s="3"/>
      <c r="I1" s="1"/>
      <c r="J1" s="2"/>
      <c r="K1" s="3"/>
    </row>
    <row r="2" spans="1:28" ht="15" thickBot="1">
      <c r="A2" s="221" t="s">
        <v>1</v>
      </c>
      <c r="B2" s="221"/>
      <c r="C2" s="1"/>
      <c r="D2" s="1"/>
      <c r="E2" s="1"/>
      <c r="F2" s="4"/>
      <c r="G2" s="4"/>
      <c r="H2" s="4"/>
      <c r="I2" s="4"/>
      <c r="J2" s="4"/>
      <c r="K2" s="4"/>
      <c r="Z2" s="1" t="s">
        <v>2</v>
      </c>
      <c r="AA2" s="1"/>
      <c r="AB2" s="1"/>
    </row>
    <row r="3" spans="1:28" ht="15" thickTop="1">
      <c r="A3" s="62" t="s">
        <v>3</v>
      </c>
      <c r="B3" s="63" t="s">
        <v>4</v>
      </c>
      <c r="C3" s="63" t="s">
        <v>5</v>
      </c>
      <c r="D3" s="63" t="s">
        <v>6</v>
      </c>
      <c r="E3" s="63" t="s">
        <v>7</v>
      </c>
      <c r="F3" s="61" t="s">
        <v>8</v>
      </c>
      <c r="G3" s="61" t="s">
        <v>9</v>
      </c>
      <c r="H3" s="61" t="s">
        <v>10</v>
      </c>
      <c r="I3" s="59" t="s">
        <v>11</v>
      </c>
      <c r="J3" s="61" t="s">
        <v>12</v>
      </c>
      <c r="K3" s="61" t="s">
        <v>13</v>
      </c>
      <c r="L3" s="61" t="s">
        <v>14</v>
      </c>
      <c r="M3" s="59" t="s">
        <v>15</v>
      </c>
      <c r="N3" s="61" t="s">
        <v>16</v>
      </c>
      <c r="O3" s="61" t="s">
        <v>17</v>
      </c>
      <c r="P3" s="61" t="s">
        <v>18</v>
      </c>
      <c r="Q3" s="61" t="s">
        <v>19</v>
      </c>
      <c r="R3" s="60" t="s">
        <v>20</v>
      </c>
      <c r="V3" s="207" t="s">
        <v>21</v>
      </c>
      <c r="W3" s="218"/>
      <c r="X3" s="64" t="s">
        <v>22</v>
      </c>
      <c r="Y3" s="207" t="s">
        <v>23</v>
      </c>
      <c r="Z3" s="218"/>
      <c r="AA3" s="207" t="s">
        <v>24</v>
      </c>
      <c r="AB3" s="208"/>
    </row>
    <row r="4" spans="1:28">
      <c r="A4" s="5" t="s">
        <v>25</v>
      </c>
      <c r="B4" s="7"/>
      <c r="C4" s="7"/>
      <c r="D4" s="7"/>
      <c r="E4" s="19"/>
      <c r="F4" s="26"/>
      <c r="G4" s="26"/>
      <c r="H4" s="26"/>
      <c r="I4" s="28"/>
      <c r="J4" s="26"/>
      <c r="K4" s="26"/>
      <c r="L4" s="26"/>
      <c r="M4" s="28"/>
      <c r="N4" s="26"/>
      <c r="O4" s="26"/>
      <c r="P4" s="26"/>
      <c r="Q4" s="28"/>
      <c r="R4" s="29"/>
      <c r="V4" s="209" t="s">
        <v>26</v>
      </c>
      <c r="W4" s="210"/>
      <c r="X4" s="7"/>
      <c r="Y4" s="8" t="s">
        <v>27</v>
      </c>
      <c r="Z4" s="8" t="s">
        <v>28</v>
      </c>
      <c r="AA4" s="9" t="s">
        <v>27</v>
      </c>
      <c r="AB4" s="10" t="s">
        <v>28</v>
      </c>
    </row>
    <row r="5" spans="1:28">
      <c r="A5" s="20" t="s">
        <v>29</v>
      </c>
      <c r="B5" s="43">
        <v>6000</v>
      </c>
      <c r="C5" s="43">
        <v>5500</v>
      </c>
      <c r="D5" s="43">
        <v>6000</v>
      </c>
      <c r="E5" s="54">
        <f>B5+C5+D5</f>
        <v>17500</v>
      </c>
      <c r="F5" s="26">
        <v>6000</v>
      </c>
      <c r="G5" s="26">
        <v>6500</v>
      </c>
      <c r="H5" s="26">
        <v>7000</v>
      </c>
      <c r="I5" s="28">
        <f>SUM(F5:H5)</f>
        <v>19500</v>
      </c>
      <c r="J5" s="26">
        <v>6800</v>
      </c>
      <c r="K5" s="26">
        <v>6350</v>
      </c>
      <c r="L5" s="26">
        <v>6200</v>
      </c>
      <c r="M5" s="28">
        <f>SUM(J5:L5)</f>
        <v>19350</v>
      </c>
      <c r="N5" s="26">
        <v>5860</v>
      </c>
      <c r="O5" s="26">
        <v>5420</v>
      </c>
      <c r="P5" s="26">
        <v>5000</v>
      </c>
      <c r="Q5" s="28">
        <f>SUM(N5:P5)</f>
        <v>16280</v>
      </c>
      <c r="R5" s="29">
        <f>Q5+M5+I5+E5</f>
        <v>72630</v>
      </c>
      <c r="V5" s="211" t="s">
        <v>30</v>
      </c>
      <c r="W5" s="212"/>
      <c r="X5" s="7"/>
      <c r="Y5" s="47">
        <v>0.02</v>
      </c>
      <c r="Z5" s="47">
        <v>0.02</v>
      </c>
      <c r="AA5" s="48">
        <v>0.03</v>
      </c>
      <c r="AB5" s="49">
        <v>0.03</v>
      </c>
    </row>
    <row r="6" spans="1:28">
      <c r="A6" s="20" t="s">
        <v>31</v>
      </c>
      <c r="B6" s="43">
        <v>6000</v>
      </c>
      <c r="C6" s="43">
        <v>5500</v>
      </c>
      <c r="D6" s="43">
        <v>6000</v>
      </c>
      <c r="E6" s="54">
        <f>B6+C6+D6</f>
        <v>17500</v>
      </c>
      <c r="F6" s="26">
        <v>5800</v>
      </c>
      <c r="G6" s="26">
        <v>6100</v>
      </c>
      <c r="H6" s="26">
        <v>6730</v>
      </c>
      <c r="I6" s="28">
        <f>SUM(F6:H6)</f>
        <v>18630</v>
      </c>
      <c r="J6" s="26">
        <v>6560</v>
      </c>
      <c r="K6" s="26">
        <v>6100</v>
      </c>
      <c r="L6" s="26">
        <v>5960</v>
      </c>
      <c r="M6" s="28">
        <v>18620</v>
      </c>
      <c r="N6" s="26">
        <v>6000</v>
      </c>
      <c r="O6" s="26">
        <v>5740</v>
      </c>
      <c r="P6" s="26">
        <v>5380</v>
      </c>
      <c r="Q6" s="28">
        <f>SUM(N6:P6)</f>
        <v>17120</v>
      </c>
      <c r="R6" s="29">
        <f>Q6+M6+I6+E6</f>
        <v>71870</v>
      </c>
      <c r="V6" s="211" t="s">
        <v>31</v>
      </c>
      <c r="W6" s="212"/>
      <c r="X6" s="7"/>
      <c r="Y6" s="47">
        <v>0.03</v>
      </c>
      <c r="Z6" s="47">
        <v>0.03</v>
      </c>
      <c r="AA6" s="48">
        <v>0.05</v>
      </c>
      <c r="AB6" s="49">
        <v>0.05</v>
      </c>
    </row>
    <row r="7" spans="1:28">
      <c r="A7" s="21" t="s">
        <v>32</v>
      </c>
      <c r="B7" s="43">
        <v>2000</v>
      </c>
      <c r="C7" s="43">
        <v>2000</v>
      </c>
      <c r="D7" s="43">
        <v>2500</v>
      </c>
      <c r="E7" s="54">
        <f>B7+C7+D7</f>
        <v>6500</v>
      </c>
      <c r="F7" s="26">
        <v>3350</v>
      </c>
      <c r="G7" s="26">
        <v>3860</v>
      </c>
      <c r="H7" s="26">
        <v>4100</v>
      </c>
      <c r="I7" s="28">
        <f>SUM(F7:H7)</f>
        <v>11310</v>
      </c>
      <c r="J7" s="26">
        <v>3900</v>
      </c>
      <c r="K7" s="26">
        <v>4050</v>
      </c>
      <c r="L7" s="26">
        <v>3800</v>
      </c>
      <c r="M7" s="28">
        <v>11750</v>
      </c>
      <c r="N7" s="26">
        <v>3150</v>
      </c>
      <c r="O7" s="26">
        <v>2890</v>
      </c>
      <c r="P7" s="26">
        <v>2120</v>
      </c>
      <c r="Q7" s="28">
        <f>SUM(N7:P7)</f>
        <v>8160</v>
      </c>
      <c r="R7" s="29">
        <f>Q7+M7+I7+E7</f>
        <v>37720</v>
      </c>
      <c r="V7" s="211" t="s">
        <v>32</v>
      </c>
      <c r="W7" s="212"/>
      <c r="X7" s="7"/>
      <c r="Y7" s="47">
        <v>0.04</v>
      </c>
      <c r="Z7" s="47">
        <v>0.04</v>
      </c>
      <c r="AA7" s="48"/>
      <c r="AB7" s="49"/>
    </row>
    <row r="8" spans="1:28">
      <c r="A8" t="s">
        <v>33</v>
      </c>
      <c r="B8" s="51">
        <v>640</v>
      </c>
      <c r="C8" s="51">
        <v>640</v>
      </c>
      <c r="D8" s="51">
        <v>780</v>
      </c>
      <c r="E8" s="52">
        <f>SUM(B8:D8)</f>
        <v>2060</v>
      </c>
      <c r="F8" s="28">
        <v>1060</v>
      </c>
      <c r="G8" s="28">
        <v>1240</v>
      </c>
      <c r="H8" s="28">
        <v>1320</v>
      </c>
      <c r="I8" s="28">
        <f>SUM(F8:H8)</f>
        <v>3620</v>
      </c>
      <c r="J8" s="28">
        <v>1240</v>
      </c>
      <c r="K8" s="28">
        <v>1280</v>
      </c>
      <c r="L8" s="28">
        <v>1200</v>
      </c>
      <c r="M8" s="28">
        <f>SUM(J8:L8)</f>
        <v>3720</v>
      </c>
      <c r="N8" s="28">
        <v>1000</v>
      </c>
      <c r="O8" s="28">
        <v>920</v>
      </c>
      <c r="P8" s="28">
        <v>1000</v>
      </c>
      <c r="Q8" s="28">
        <f>SUM(N8:P8)</f>
        <v>2920</v>
      </c>
      <c r="R8" s="29">
        <f>Q8+M8+I8+E8</f>
        <v>12320</v>
      </c>
      <c r="V8" s="215" t="s">
        <v>33</v>
      </c>
      <c r="W8" s="216"/>
      <c r="X8" s="7"/>
      <c r="Y8" s="53">
        <v>0.03</v>
      </c>
      <c r="Z8" s="53">
        <v>0.03</v>
      </c>
      <c r="AA8" s="48"/>
      <c r="AB8" s="49"/>
    </row>
    <row r="9" spans="1:28">
      <c r="A9" s="5" t="s">
        <v>34</v>
      </c>
      <c r="B9" s="57"/>
      <c r="C9" s="57"/>
      <c r="D9" s="57"/>
      <c r="E9" s="58"/>
      <c r="F9" s="26"/>
      <c r="G9" s="26"/>
      <c r="H9" s="26"/>
      <c r="I9" s="28"/>
      <c r="J9" s="26"/>
      <c r="K9" s="26"/>
      <c r="L9" s="26"/>
      <c r="M9" s="28"/>
      <c r="N9" s="26"/>
      <c r="O9" s="26"/>
      <c r="P9" s="26"/>
      <c r="Q9" s="28"/>
      <c r="R9" s="29"/>
      <c r="V9" s="14"/>
    </row>
    <row r="10" spans="1:28">
      <c r="A10" s="20" t="s">
        <v>29</v>
      </c>
      <c r="B10" s="43">
        <v>3800</v>
      </c>
      <c r="C10" s="43">
        <v>4000</v>
      </c>
      <c r="D10" s="43">
        <v>4400</v>
      </c>
      <c r="E10" s="54">
        <f>B10+C10+D10</f>
        <v>12200</v>
      </c>
      <c r="F10" s="26">
        <v>4750</v>
      </c>
      <c r="G10" s="26">
        <v>5200</v>
      </c>
      <c r="H10" s="26">
        <v>5430</v>
      </c>
      <c r="I10" s="28">
        <f>SUM(F10:H10)</f>
        <v>15380</v>
      </c>
      <c r="J10" s="26">
        <v>5860</v>
      </c>
      <c r="K10" s="26">
        <v>5780</v>
      </c>
      <c r="L10" s="26">
        <v>5420</v>
      </c>
      <c r="M10" s="28">
        <v>17060</v>
      </c>
      <c r="N10" s="26">
        <v>4980</v>
      </c>
      <c r="O10" s="26">
        <v>4310</v>
      </c>
      <c r="P10" s="26">
        <v>3860</v>
      </c>
      <c r="Q10" s="28">
        <v>13150</v>
      </c>
      <c r="R10" s="29">
        <f>Q10+M10+I10+E10</f>
        <v>57790</v>
      </c>
      <c r="V10" s="13"/>
      <c r="W10" s="14"/>
    </row>
    <row r="11" spans="1:28">
      <c r="A11" s="20" t="s">
        <v>31</v>
      </c>
      <c r="B11" s="43">
        <v>1300</v>
      </c>
      <c r="C11" s="43">
        <v>1400</v>
      </c>
      <c r="D11" s="43">
        <v>1800</v>
      </c>
      <c r="E11" s="54">
        <f>B11+C11+D11</f>
        <v>4500</v>
      </c>
      <c r="F11" s="26">
        <v>1970</v>
      </c>
      <c r="G11" s="26">
        <v>2350</v>
      </c>
      <c r="H11" s="26">
        <v>2560</v>
      </c>
      <c r="I11" s="28">
        <f>SUM(F11:H11)</f>
        <v>6880</v>
      </c>
      <c r="J11" s="26">
        <v>2890</v>
      </c>
      <c r="K11" s="26">
        <v>3000</v>
      </c>
      <c r="L11" s="26">
        <v>2640</v>
      </c>
      <c r="M11" s="28">
        <v>8530</v>
      </c>
      <c r="N11" s="26">
        <v>2210</v>
      </c>
      <c r="O11" s="26">
        <v>1900</v>
      </c>
      <c r="P11" s="26">
        <v>1560</v>
      </c>
      <c r="Q11" s="28">
        <v>5670</v>
      </c>
      <c r="R11" s="29">
        <f>Q11+M11+I11+E11</f>
        <v>25580</v>
      </c>
      <c r="V11" s="13"/>
      <c r="W11" s="14"/>
    </row>
    <row r="12" spans="1:28">
      <c r="A12" s="20"/>
      <c r="B12" s="31"/>
      <c r="C12" s="31"/>
      <c r="D12" s="31"/>
      <c r="E12" s="32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7"/>
      <c r="V12" s="209" t="s">
        <v>35</v>
      </c>
      <c r="W12" s="210"/>
      <c r="X12" s="7" t="s">
        <v>30</v>
      </c>
      <c r="Y12" s="36">
        <v>0.3</v>
      </c>
      <c r="Z12" s="36">
        <v>0.35</v>
      </c>
      <c r="AA12" s="37">
        <v>0.5</v>
      </c>
      <c r="AB12" s="38">
        <v>0.55000000000000004</v>
      </c>
    </row>
    <row r="13" spans="1:28">
      <c r="A13" s="20"/>
      <c r="B13" s="31"/>
      <c r="C13" s="31"/>
      <c r="D13" s="31"/>
      <c r="E13" s="32"/>
      <c r="F13" s="26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9"/>
      <c r="V13" s="11"/>
      <c r="W13" s="6"/>
      <c r="X13" s="7" t="s">
        <v>31</v>
      </c>
      <c r="Y13" s="36">
        <v>0.3</v>
      </c>
      <c r="Z13" s="36">
        <v>0.35</v>
      </c>
      <c r="AA13" s="37">
        <v>0.5</v>
      </c>
      <c r="AB13" s="38">
        <v>0.55000000000000004</v>
      </c>
    </row>
    <row r="14" spans="1:28">
      <c r="V14" s="11"/>
      <c r="W14" s="6"/>
      <c r="X14" s="7" t="s">
        <v>32</v>
      </c>
      <c r="Y14" s="36">
        <v>0.3</v>
      </c>
      <c r="Z14" s="36">
        <v>0.35</v>
      </c>
      <c r="AA14" s="37"/>
      <c r="AB14" s="38"/>
    </row>
    <row r="15" spans="1:28">
      <c r="A15" s="214" t="s">
        <v>36</v>
      </c>
      <c r="B15" s="214"/>
      <c r="X15" s="42" t="s">
        <v>33</v>
      </c>
      <c r="Y15" s="66">
        <v>0.3</v>
      </c>
      <c r="Z15" s="66">
        <v>0.3</v>
      </c>
    </row>
    <row r="16" spans="1:28">
      <c r="A16" s="24" t="s">
        <v>21</v>
      </c>
      <c r="B16" s="23" t="s">
        <v>23</v>
      </c>
      <c r="D16" s="23" t="s">
        <v>37</v>
      </c>
    </row>
    <row r="17" spans="1:29">
      <c r="B17" s="25" t="s">
        <v>27</v>
      </c>
      <c r="C17" s="25" t="s">
        <v>28</v>
      </c>
      <c r="D17" s="25" t="s">
        <v>27</v>
      </c>
      <c r="E17" s="25" t="s">
        <v>28</v>
      </c>
    </row>
    <row r="18" spans="1:29">
      <c r="A18" t="s">
        <v>30</v>
      </c>
      <c r="B18">
        <v>40</v>
      </c>
      <c r="C18">
        <v>40</v>
      </c>
      <c r="D18">
        <v>40</v>
      </c>
      <c r="E18">
        <v>40</v>
      </c>
      <c r="Q18" s="70"/>
      <c r="R18" s="70"/>
    </row>
    <row r="19" spans="1:29">
      <c r="A19" t="s">
        <v>31</v>
      </c>
      <c r="B19">
        <v>50</v>
      </c>
      <c r="C19">
        <v>50</v>
      </c>
      <c r="D19">
        <v>50</v>
      </c>
      <c r="E19">
        <v>50</v>
      </c>
      <c r="V19" s="41" t="s">
        <v>38</v>
      </c>
      <c r="W19" s="22"/>
      <c r="X19" s="12" t="s">
        <v>30</v>
      </c>
      <c r="Y19" s="33">
        <v>0.02</v>
      </c>
      <c r="Z19" s="33">
        <v>0.02</v>
      </c>
      <c r="AA19" s="34">
        <v>0.03</v>
      </c>
      <c r="AB19" s="34">
        <v>0.03</v>
      </c>
    </row>
    <row r="20" spans="1:29">
      <c r="A20" t="s">
        <v>32</v>
      </c>
      <c r="B20">
        <v>30</v>
      </c>
      <c r="C20">
        <v>30</v>
      </c>
      <c r="V20" s="16"/>
      <c r="W20" s="15"/>
      <c r="X20" s="12" t="s">
        <v>31</v>
      </c>
      <c r="Y20" s="33">
        <v>0.02</v>
      </c>
      <c r="Z20" s="33">
        <v>0.02</v>
      </c>
      <c r="AA20" s="34">
        <v>0.03</v>
      </c>
      <c r="AB20" s="34">
        <v>0.03</v>
      </c>
    </row>
    <row r="21" spans="1:29" ht="15" thickBot="1">
      <c r="A21" t="s">
        <v>33</v>
      </c>
      <c r="B21" s="25">
        <v>40</v>
      </c>
      <c r="C21" s="25">
        <v>40</v>
      </c>
      <c r="V21" s="3"/>
      <c r="W21" s="16"/>
      <c r="X21" s="17" t="s">
        <v>32</v>
      </c>
      <c r="Y21" s="33">
        <v>0.02</v>
      </c>
      <c r="Z21" s="33">
        <v>0.02</v>
      </c>
      <c r="AA21" s="34"/>
      <c r="AB21" s="35"/>
    </row>
    <row r="22" spans="1:29" ht="15" thickTop="1">
      <c r="X22" s="71" t="s">
        <v>39</v>
      </c>
      <c r="Y22" s="72">
        <v>0.02</v>
      </c>
      <c r="Z22" s="72">
        <v>0.02</v>
      </c>
    </row>
    <row r="23" spans="1:29" s="25" customFormat="1">
      <c r="V23"/>
      <c r="W23"/>
      <c r="X23"/>
      <c r="Y23"/>
      <c r="Z23"/>
      <c r="AA23"/>
      <c r="AB23"/>
      <c r="AC23"/>
    </row>
    <row r="24" spans="1:29" ht="15" thickBot="1">
      <c r="A24" s="213" t="s">
        <v>40</v>
      </c>
      <c r="B24" s="213"/>
    </row>
    <row r="25" spans="1:29" ht="15" thickTop="1">
      <c r="A25" s="46" t="s">
        <v>3</v>
      </c>
      <c r="B25" s="45" t="s">
        <v>4</v>
      </c>
      <c r="C25" s="45" t="s">
        <v>5</v>
      </c>
      <c r="D25" s="45" t="s">
        <v>6</v>
      </c>
      <c r="E25" s="46" t="s">
        <v>7</v>
      </c>
      <c r="F25" s="61" t="s">
        <v>8</v>
      </c>
      <c r="G25" s="61" t="s">
        <v>9</v>
      </c>
      <c r="H25" s="61" t="s">
        <v>10</v>
      </c>
      <c r="I25" s="59" t="s">
        <v>11</v>
      </c>
      <c r="J25" s="61" t="s">
        <v>12</v>
      </c>
      <c r="K25" s="61" t="s">
        <v>13</v>
      </c>
      <c r="L25" s="61" t="s">
        <v>14</v>
      </c>
      <c r="M25" s="59" t="s">
        <v>15</v>
      </c>
      <c r="N25" s="61" t="s">
        <v>16</v>
      </c>
      <c r="O25" s="61" t="s">
        <v>17</v>
      </c>
      <c r="P25" s="61" t="s">
        <v>18</v>
      </c>
      <c r="Q25" s="59" t="s">
        <v>19</v>
      </c>
      <c r="R25" s="60" t="s">
        <v>20</v>
      </c>
    </row>
    <row r="26" spans="1:29">
      <c r="A26" s="56" t="s">
        <v>41</v>
      </c>
      <c r="F26" s="26"/>
      <c r="G26" s="26"/>
      <c r="H26" s="26"/>
      <c r="I26" s="28"/>
      <c r="J26" s="26"/>
      <c r="K26" s="26"/>
      <c r="L26" s="26"/>
      <c r="M26" s="28"/>
      <c r="N26" s="26"/>
      <c r="O26" s="26"/>
      <c r="P26" s="26"/>
      <c r="Q26" s="28"/>
      <c r="R26" s="29"/>
    </row>
    <row r="27" spans="1:29">
      <c r="A27" t="s">
        <v>29</v>
      </c>
      <c r="B27" s="39">
        <f>B5*B18</f>
        <v>240000</v>
      </c>
      <c r="C27" s="39">
        <f>C5*B18</f>
        <v>220000</v>
      </c>
      <c r="D27" s="39">
        <f>D5*B18</f>
        <v>240000</v>
      </c>
      <c r="E27" s="40">
        <v>700000</v>
      </c>
      <c r="F27" s="26">
        <f>F5*B18</f>
        <v>240000</v>
      </c>
      <c r="G27" s="26">
        <f>G5*B18</f>
        <v>260000</v>
      </c>
      <c r="H27" s="26">
        <f>H5*B18</f>
        <v>280000</v>
      </c>
      <c r="I27" s="28">
        <f>SUM(F27:H27)</f>
        <v>780000</v>
      </c>
      <c r="J27" s="26">
        <f>J5*C18</f>
        <v>272000</v>
      </c>
      <c r="K27" s="26">
        <f>K5*C18</f>
        <v>254000</v>
      </c>
      <c r="L27" s="26">
        <f>L5*C18</f>
        <v>248000</v>
      </c>
      <c r="M27" s="28">
        <f>SUM(J27:L27)</f>
        <v>774000</v>
      </c>
      <c r="N27" s="26">
        <f>N5*C18</f>
        <v>234400</v>
      </c>
      <c r="O27" s="26">
        <f>O5*C18</f>
        <v>216800</v>
      </c>
      <c r="P27" s="26">
        <f>P5*C18</f>
        <v>200000</v>
      </c>
      <c r="Q27" s="28">
        <f>SUM(N27:P27)</f>
        <v>651200</v>
      </c>
      <c r="R27" s="29">
        <f>Q27+M27+I27+E27</f>
        <v>2905200</v>
      </c>
    </row>
    <row r="28" spans="1:29">
      <c r="A28" t="s">
        <v>31</v>
      </c>
      <c r="B28" s="39">
        <f>B6*B19</f>
        <v>300000</v>
      </c>
      <c r="C28" s="39">
        <f>C6*B19</f>
        <v>275000</v>
      </c>
      <c r="D28" s="39">
        <f>D6*B19</f>
        <v>300000</v>
      </c>
      <c r="E28" s="40">
        <v>875000</v>
      </c>
      <c r="F28" s="26">
        <f>F6*B19</f>
        <v>290000</v>
      </c>
      <c r="G28" s="26">
        <f>G6*B19</f>
        <v>305000</v>
      </c>
      <c r="H28" s="26">
        <f>H6*B19</f>
        <v>336500</v>
      </c>
      <c r="I28" s="28">
        <f>SUM(F28:H28)</f>
        <v>931500</v>
      </c>
      <c r="J28" s="26">
        <f>J6*C19</f>
        <v>328000</v>
      </c>
      <c r="K28" s="26">
        <f>K6*C19</f>
        <v>305000</v>
      </c>
      <c r="L28" s="26">
        <f>L6*C19</f>
        <v>298000</v>
      </c>
      <c r="M28" s="28">
        <f>SUM(J28:L28)</f>
        <v>931000</v>
      </c>
      <c r="N28" s="26">
        <f>N6*C19</f>
        <v>300000</v>
      </c>
      <c r="O28" s="26">
        <f>SUM(O6*C19)</f>
        <v>287000</v>
      </c>
      <c r="P28" s="26">
        <f>P6*C19</f>
        <v>269000</v>
      </c>
      <c r="Q28" s="28">
        <f>SUM(N28:P28)</f>
        <v>856000</v>
      </c>
      <c r="R28" s="29">
        <f>Q28+M28+I28+E28</f>
        <v>3593500</v>
      </c>
    </row>
    <row r="29" spans="1:29">
      <c r="A29" t="s">
        <v>32</v>
      </c>
      <c r="B29" s="39">
        <f>B7*B20</f>
        <v>60000</v>
      </c>
      <c r="C29" s="39">
        <f>C7*B20</f>
        <v>60000</v>
      </c>
      <c r="D29" s="39">
        <f>D7*B20</f>
        <v>75000</v>
      </c>
      <c r="E29" s="40">
        <v>195000</v>
      </c>
      <c r="F29" s="26">
        <f>F7*B20</f>
        <v>100500</v>
      </c>
      <c r="G29" s="26">
        <f>G7*B20</f>
        <v>115800</v>
      </c>
      <c r="H29" s="26">
        <f>H7*B20</f>
        <v>123000</v>
      </c>
      <c r="I29" s="28">
        <f>SUM(F29:H29)</f>
        <v>339300</v>
      </c>
      <c r="J29" s="26">
        <f>J7*C20</f>
        <v>117000</v>
      </c>
      <c r="K29" s="26">
        <f>K7*C20</f>
        <v>121500</v>
      </c>
      <c r="L29" s="26">
        <f>L7*C20</f>
        <v>114000</v>
      </c>
      <c r="M29" s="28">
        <f>SUM(J29:L29)</f>
        <v>352500</v>
      </c>
      <c r="N29" s="26">
        <f>N7*C20</f>
        <v>94500</v>
      </c>
      <c r="O29" s="26">
        <f>O7*C20</f>
        <v>86700</v>
      </c>
      <c r="P29" s="26">
        <f>P7*C20</f>
        <v>63600</v>
      </c>
      <c r="Q29" s="28">
        <f>SUM(N29:P29)</f>
        <v>244800</v>
      </c>
      <c r="R29" s="29">
        <f>Q29+M29+I29+E29</f>
        <v>1131600</v>
      </c>
    </row>
    <row r="30" spans="1:29">
      <c r="A30" t="s">
        <v>33</v>
      </c>
      <c r="B30" s="40">
        <f>B8*B21</f>
        <v>25600</v>
      </c>
      <c r="C30" s="40">
        <f>C8*B21</f>
        <v>25600</v>
      </c>
      <c r="D30" s="40">
        <f>D8*B21</f>
        <v>31200</v>
      </c>
      <c r="E30" s="40">
        <f>SUM(B30:D30)</f>
        <v>82400</v>
      </c>
      <c r="F30" s="28">
        <f>F8*B21</f>
        <v>42400</v>
      </c>
      <c r="G30" s="28">
        <f>G8*B21</f>
        <v>49600</v>
      </c>
      <c r="H30" s="28">
        <f>H8*B21</f>
        <v>52800</v>
      </c>
      <c r="I30" s="28">
        <f>SUM(F30:H30)</f>
        <v>144800</v>
      </c>
      <c r="J30" s="28">
        <f>J8*C21</f>
        <v>49600</v>
      </c>
      <c r="K30" s="28">
        <f>K8*C21</f>
        <v>51200</v>
      </c>
      <c r="L30" s="28">
        <f>L8*C21</f>
        <v>48000</v>
      </c>
      <c r="M30" s="28">
        <f>SUM(J30:L30)</f>
        <v>148800</v>
      </c>
      <c r="N30" s="28">
        <f>N8*C21</f>
        <v>40000</v>
      </c>
      <c r="O30" s="28">
        <f>O8*C21</f>
        <v>36800</v>
      </c>
      <c r="P30" s="28">
        <f>P8*C21</f>
        <v>40000</v>
      </c>
      <c r="Q30" s="28">
        <f>SUM(N30:P30)</f>
        <v>116800</v>
      </c>
      <c r="R30" s="29">
        <f>Q30+M30+I30+E30</f>
        <v>492800</v>
      </c>
    </row>
    <row r="31" spans="1:29">
      <c r="A31" s="44" t="s">
        <v>42</v>
      </c>
      <c r="B31" s="40">
        <f>B27+B28+B29+B30</f>
        <v>625600</v>
      </c>
      <c r="C31" s="40">
        <f>C27+C28+C29+C30</f>
        <v>580600</v>
      </c>
      <c r="D31" s="40">
        <f>D27+D28+D29+D30</f>
        <v>646200</v>
      </c>
      <c r="E31" s="40">
        <f>E27+E28+E29+E30</f>
        <v>1852400</v>
      </c>
      <c r="F31" s="28">
        <f t="shared" ref="F31:Q31" si="0">SUM(F27:F30)</f>
        <v>672900</v>
      </c>
      <c r="G31" s="28">
        <f t="shared" si="0"/>
        <v>730400</v>
      </c>
      <c r="H31" s="28">
        <f t="shared" si="0"/>
        <v>792300</v>
      </c>
      <c r="I31" s="28">
        <f t="shared" si="0"/>
        <v>2195600</v>
      </c>
      <c r="J31" s="28">
        <f t="shared" si="0"/>
        <v>766600</v>
      </c>
      <c r="K31" s="28">
        <f t="shared" si="0"/>
        <v>731700</v>
      </c>
      <c r="L31" s="28">
        <f t="shared" si="0"/>
        <v>708000</v>
      </c>
      <c r="M31" s="28">
        <f t="shared" si="0"/>
        <v>2206300</v>
      </c>
      <c r="N31" s="28">
        <f t="shared" si="0"/>
        <v>668900</v>
      </c>
      <c r="O31" s="28">
        <f t="shared" si="0"/>
        <v>627300</v>
      </c>
      <c r="P31" s="28">
        <f t="shared" si="0"/>
        <v>572600</v>
      </c>
      <c r="Q31" s="28">
        <f t="shared" si="0"/>
        <v>1868800</v>
      </c>
      <c r="R31" s="29">
        <f>SUM(Q31+M31+I31+E31)</f>
        <v>8123100</v>
      </c>
    </row>
    <row r="32" spans="1:29">
      <c r="A32" s="56" t="s">
        <v>34</v>
      </c>
      <c r="F32" s="26"/>
      <c r="G32" s="26"/>
      <c r="H32" s="26"/>
      <c r="I32" s="28"/>
      <c r="J32" s="26"/>
      <c r="K32" s="26"/>
      <c r="L32" s="26"/>
      <c r="M32" s="28"/>
      <c r="N32" s="26"/>
      <c r="O32" s="26"/>
      <c r="P32" s="26"/>
      <c r="Q32" s="28"/>
      <c r="R32" s="29"/>
    </row>
    <row r="33" spans="1:18">
      <c r="A33" t="s">
        <v>29</v>
      </c>
      <c r="B33">
        <f>B10*D18</f>
        <v>152000</v>
      </c>
      <c r="C33">
        <f>C10*D18</f>
        <v>160000</v>
      </c>
      <c r="D33">
        <f>D10*D18</f>
        <v>176000</v>
      </c>
      <c r="E33" s="25">
        <v>488000</v>
      </c>
      <c r="F33" s="26">
        <f>F10*D18</f>
        <v>190000</v>
      </c>
      <c r="G33" s="26">
        <f>G10*D18</f>
        <v>208000</v>
      </c>
      <c r="H33" s="26">
        <f>H10*D18</f>
        <v>217200</v>
      </c>
      <c r="I33" s="28">
        <f>SUM(F32:H33)</f>
        <v>615200</v>
      </c>
      <c r="J33" s="26">
        <f>J10*E18</f>
        <v>234400</v>
      </c>
      <c r="K33" s="26">
        <f>K10*E18</f>
        <v>231200</v>
      </c>
      <c r="L33" s="26">
        <f>L10*E18</f>
        <v>216800</v>
      </c>
      <c r="M33" s="28">
        <v>682400</v>
      </c>
      <c r="N33" s="26">
        <f>N10*E18</f>
        <v>199200</v>
      </c>
      <c r="O33" s="26">
        <f>O10*E18</f>
        <v>172400</v>
      </c>
      <c r="P33" s="26">
        <f>P10*E18</f>
        <v>154400</v>
      </c>
      <c r="Q33" s="28">
        <v>526000</v>
      </c>
      <c r="R33" s="29">
        <f>Q33+M33+I33+E33</f>
        <v>2311600</v>
      </c>
    </row>
    <row r="34" spans="1:18">
      <c r="A34" t="s">
        <v>31</v>
      </c>
      <c r="B34">
        <f>B11*D19</f>
        <v>65000</v>
      </c>
      <c r="C34">
        <f>C11*D19</f>
        <v>70000</v>
      </c>
      <c r="D34">
        <f>D11*D19</f>
        <v>90000</v>
      </c>
      <c r="E34" s="25">
        <v>225000</v>
      </c>
      <c r="F34" s="26">
        <f>F11*D19</f>
        <v>98500</v>
      </c>
      <c r="G34" s="26">
        <f>G11*D19</f>
        <v>117500</v>
      </c>
      <c r="H34" s="26">
        <f>H11*D19</f>
        <v>128000</v>
      </c>
      <c r="I34" s="28">
        <f>SUM(F34:H34)</f>
        <v>344000</v>
      </c>
      <c r="J34" s="26">
        <f>J11*E19</f>
        <v>144500</v>
      </c>
      <c r="K34" s="26">
        <f>K11*E19</f>
        <v>150000</v>
      </c>
      <c r="L34" s="26">
        <f>L11*E19</f>
        <v>132000</v>
      </c>
      <c r="M34" s="28">
        <v>426500</v>
      </c>
      <c r="N34" s="26">
        <f>N11*E19</f>
        <v>110500</v>
      </c>
      <c r="O34" s="26">
        <f>O11*E19</f>
        <v>95000</v>
      </c>
      <c r="P34" s="26">
        <f>P11*E19</f>
        <v>78000</v>
      </c>
      <c r="Q34" s="28">
        <f>SUM(N34:P34)</f>
        <v>283500</v>
      </c>
      <c r="R34" s="29">
        <f>Q34+M34+I34+E34</f>
        <v>1279000</v>
      </c>
    </row>
    <row r="35" spans="1:18">
      <c r="A35" s="44" t="s">
        <v>42</v>
      </c>
      <c r="B35" s="25">
        <v>217000</v>
      </c>
      <c r="C35" s="25">
        <v>230000</v>
      </c>
      <c r="D35" s="25">
        <v>266000</v>
      </c>
      <c r="E35" s="25">
        <v>713000</v>
      </c>
      <c r="F35" s="28">
        <f>SUM(F33:F34)</f>
        <v>288500</v>
      </c>
      <c r="G35" s="28">
        <f>SUM(G33:G34)</f>
        <v>325500</v>
      </c>
      <c r="H35" s="28">
        <f>SUM(H33:H34)</f>
        <v>345200</v>
      </c>
      <c r="I35" s="28">
        <f>SUM(F35:H35)</f>
        <v>959200</v>
      </c>
      <c r="J35" s="28">
        <v>378900</v>
      </c>
      <c r="K35" s="28">
        <v>381200</v>
      </c>
      <c r="L35" s="28">
        <v>348800</v>
      </c>
      <c r="M35" s="28">
        <f>L35+K35+J35</f>
        <v>1108900</v>
      </c>
      <c r="N35" s="28">
        <f>SUM(N33:N34)</f>
        <v>309700</v>
      </c>
      <c r="O35" s="28">
        <f>SUM(O33:O34)</f>
        <v>267400</v>
      </c>
      <c r="P35" s="28">
        <f>SUM(P33:P34)</f>
        <v>232400</v>
      </c>
      <c r="Q35" s="28">
        <f>SUM(Q33:Q34)</f>
        <v>809500</v>
      </c>
      <c r="R35" s="29">
        <f>Q35+M35+I35+E35</f>
        <v>3590600</v>
      </c>
    </row>
    <row r="36" spans="1:18">
      <c r="A36" s="80" t="s">
        <v>20</v>
      </c>
      <c r="B36" s="25">
        <f t="shared" ref="B36:R36" si="1">B31+B35</f>
        <v>842600</v>
      </c>
      <c r="C36" s="25">
        <f t="shared" si="1"/>
        <v>810600</v>
      </c>
      <c r="D36" s="25">
        <f t="shared" si="1"/>
        <v>912200</v>
      </c>
      <c r="E36" s="25">
        <f t="shared" si="1"/>
        <v>2565400</v>
      </c>
      <c r="F36" s="50">
        <f t="shared" si="1"/>
        <v>961400</v>
      </c>
      <c r="G36" s="50">
        <f t="shared" si="1"/>
        <v>1055900</v>
      </c>
      <c r="H36" s="50">
        <f t="shared" si="1"/>
        <v>1137500</v>
      </c>
      <c r="I36" s="50">
        <f t="shared" si="1"/>
        <v>3154800</v>
      </c>
      <c r="J36" s="50">
        <f t="shared" si="1"/>
        <v>1145500</v>
      </c>
      <c r="K36" s="50">
        <f t="shared" si="1"/>
        <v>1112900</v>
      </c>
      <c r="L36" s="50">
        <f t="shared" si="1"/>
        <v>1056800</v>
      </c>
      <c r="M36" s="50">
        <f t="shared" si="1"/>
        <v>3315200</v>
      </c>
      <c r="N36" s="50">
        <f t="shared" si="1"/>
        <v>978600</v>
      </c>
      <c r="O36" s="50">
        <f t="shared" si="1"/>
        <v>894700</v>
      </c>
      <c r="P36" s="50">
        <f t="shared" si="1"/>
        <v>805000</v>
      </c>
      <c r="Q36" s="50">
        <f t="shared" si="1"/>
        <v>2678300</v>
      </c>
      <c r="R36" s="50">
        <f t="shared" si="1"/>
        <v>11713700</v>
      </c>
    </row>
    <row r="37" spans="1:18">
      <c r="I37" s="25"/>
      <c r="M37" s="25"/>
      <c r="Q37" s="25"/>
      <c r="R37" s="25"/>
    </row>
    <row r="38" spans="1:18" ht="15" thickBot="1">
      <c r="A38" s="213" t="s">
        <v>43</v>
      </c>
      <c r="B38" s="213"/>
      <c r="I38" s="25"/>
      <c r="M38" s="25"/>
      <c r="Q38" s="25"/>
      <c r="R38" s="25"/>
    </row>
    <row r="39" spans="1:18" ht="15" thickTop="1">
      <c r="A39" s="46" t="s">
        <v>3</v>
      </c>
      <c r="B39" s="45" t="s">
        <v>4</v>
      </c>
      <c r="C39" s="45" t="s">
        <v>5</v>
      </c>
      <c r="D39" s="45" t="s">
        <v>6</v>
      </c>
      <c r="E39" s="46" t="s">
        <v>7</v>
      </c>
      <c r="F39" s="61" t="s">
        <v>8</v>
      </c>
      <c r="G39" s="61" t="s">
        <v>9</v>
      </c>
      <c r="H39" s="61" t="s">
        <v>10</v>
      </c>
      <c r="I39" s="59" t="s">
        <v>11</v>
      </c>
      <c r="J39" s="61" t="s">
        <v>12</v>
      </c>
      <c r="K39" s="61" t="s">
        <v>13</v>
      </c>
      <c r="L39" s="61" t="s">
        <v>14</v>
      </c>
      <c r="M39" s="59" t="s">
        <v>15</v>
      </c>
      <c r="N39" s="61" t="s">
        <v>16</v>
      </c>
      <c r="O39" s="61" t="s">
        <v>17</v>
      </c>
      <c r="P39" s="61" t="s">
        <v>18</v>
      </c>
      <c r="Q39" s="59" t="s">
        <v>19</v>
      </c>
      <c r="R39" s="60" t="s">
        <v>20</v>
      </c>
    </row>
    <row r="40" spans="1:18">
      <c r="A40" s="56" t="s">
        <v>23</v>
      </c>
      <c r="F40" s="26"/>
      <c r="G40" s="26"/>
      <c r="H40" s="26"/>
      <c r="I40" s="28"/>
      <c r="J40" s="26"/>
      <c r="K40" s="26"/>
      <c r="L40" s="26"/>
      <c r="M40" s="28"/>
      <c r="N40" s="26"/>
      <c r="O40" s="26"/>
      <c r="P40" s="26"/>
      <c r="Q40" s="28"/>
      <c r="R40" s="29"/>
    </row>
    <row r="41" spans="1:18">
      <c r="A41" t="s">
        <v>29</v>
      </c>
      <c r="B41">
        <f>B27*Y5</f>
        <v>4800</v>
      </c>
      <c r="C41">
        <v>4400</v>
      </c>
      <c r="D41" s="30">
        <v>4800</v>
      </c>
      <c r="E41" s="50">
        <f>B41+C41+D41</f>
        <v>14000</v>
      </c>
      <c r="F41" s="26">
        <f>F27*Y5</f>
        <v>4800</v>
      </c>
      <c r="G41" s="26">
        <f>G27*Y5</f>
        <v>5200</v>
      </c>
      <c r="H41" s="26">
        <f>H27*Y5</f>
        <v>5600</v>
      </c>
      <c r="I41" s="28">
        <f>SUM(F41:H41)</f>
        <v>15600</v>
      </c>
      <c r="J41" s="26">
        <f>J27*Z5</f>
        <v>5440</v>
      </c>
      <c r="K41" s="26">
        <f>K27*Z5</f>
        <v>5080</v>
      </c>
      <c r="L41" s="26">
        <f>L27*Z5</f>
        <v>4960</v>
      </c>
      <c r="M41" s="28">
        <f>SUM(J41:L41)</f>
        <v>15480</v>
      </c>
      <c r="N41" s="26">
        <f>N27*Z5</f>
        <v>4688</v>
      </c>
      <c r="O41" s="26">
        <f>O27*Z5</f>
        <v>4336</v>
      </c>
      <c r="P41" s="26">
        <f>P27*Z5</f>
        <v>4000</v>
      </c>
      <c r="Q41" s="28">
        <f>SUM(N41:P41)</f>
        <v>13024</v>
      </c>
      <c r="R41" s="29">
        <f>SUM(Q41+M41+I40+E40)</f>
        <v>28504</v>
      </c>
    </row>
    <row r="42" spans="1:18">
      <c r="A42" t="s">
        <v>31</v>
      </c>
      <c r="B42">
        <v>9000</v>
      </c>
      <c r="C42">
        <v>8250</v>
      </c>
      <c r="D42">
        <v>9000</v>
      </c>
      <c r="E42" s="25">
        <f>B42+C42+D42</f>
        <v>26250</v>
      </c>
      <c r="F42" s="26">
        <f>F28*Y6</f>
        <v>8700</v>
      </c>
      <c r="G42" s="26">
        <f>G28*Y6</f>
        <v>9150</v>
      </c>
      <c r="H42" s="26">
        <f>H28*Y6</f>
        <v>10095</v>
      </c>
      <c r="I42" s="28">
        <f>SUM(F42:H42)</f>
        <v>27945</v>
      </c>
      <c r="J42" s="26">
        <f>J28*Z6</f>
        <v>9840</v>
      </c>
      <c r="K42" s="26">
        <f>K28*Z6</f>
        <v>9150</v>
      </c>
      <c r="L42" s="26">
        <f>L28*Z6</f>
        <v>8940</v>
      </c>
      <c r="M42" s="28">
        <f>SUM(J42:L42)</f>
        <v>27930</v>
      </c>
      <c r="N42" s="26">
        <f>N28*Z6</f>
        <v>9000</v>
      </c>
      <c r="O42" s="26">
        <f>O28*Z6</f>
        <v>8610</v>
      </c>
      <c r="P42" s="26">
        <f>P28*Z6</f>
        <v>8070</v>
      </c>
      <c r="Q42" s="28">
        <f>SUM(N42:P42)</f>
        <v>25680</v>
      </c>
      <c r="R42" s="29">
        <f>SUM(Q42+M42+I42+E42)</f>
        <v>107805</v>
      </c>
    </row>
    <row r="43" spans="1:18">
      <c r="A43" t="s">
        <v>32</v>
      </c>
      <c r="B43">
        <v>2400</v>
      </c>
      <c r="C43">
        <v>2400</v>
      </c>
      <c r="D43">
        <v>3000</v>
      </c>
      <c r="E43" s="25">
        <f>B43+C43+D43</f>
        <v>7800</v>
      </c>
      <c r="F43" s="26">
        <f>F29*Y7</f>
        <v>4020</v>
      </c>
      <c r="G43" s="26">
        <f>G29*Y7</f>
        <v>4632</v>
      </c>
      <c r="H43" s="26">
        <f>H29*Y7</f>
        <v>4920</v>
      </c>
      <c r="I43" s="28">
        <f>SUM(F43:H43)</f>
        <v>13572</v>
      </c>
      <c r="J43" s="26">
        <f>J29*Z7</f>
        <v>4680</v>
      </c>
      <c r="K43" s="26">
        <f>K29*Z7</f>
        <v>4860</v>
      </c>
      <c r="L43" s="26">
        <f>L29*Z7</f>
        <v>4560</v>
      </c>
      <c r="M43" s="28">
        <f>SUM(J43:L43)</f>
        <v>14100</v>
      </c>
      <c r="N43" s="26">
        <f>N29*Z7</f>
        <v>3780</v>
      </c>
      <c r="O43" s="26">
        <f>O29*Z7</f>
        <v>3468</v>
      </c>
      <c r="P43" s="26">
        <f>P29*Z7</f>
        <v>2544</v>
      </c>
      <c r="Q43" s="28">
        <f>SUM(N43:P43)</f>
        <v>9792</v>
      </c>
      <c r="R43" s="29">
        <f>SUM(Q43+M43+I43+E43)</f>
        <v>45264</v>
      </c>
    </row>
    <row r="44" spans="1:18">
      <c r="A44" t="s">
        <v>33</v>
      </c>
      <c r="B44" s="25">
        <f>B30*Y8</f>
        <v>768</v>
      </c>
      <c r="C44" s="25">
        <f>C30*Y8</f>
        <v>768</v>
      </c>
      <c r="D44" s="25">
        <f>D30*Y8</f>
        <v>936</v>
      </c>
      <c r="E44" s="25">
        <f>SUM(B44:D44)</f>
        <v>2472</v>
      </c>
      <c r="F44" s="28">
        <f>F30*Y8</f>
        <v>1272</v>
      </c>
      <c r="G44" s="28">
        <f>G30*Y8</f>
        <v>1488</v>
      </c>
      <c r="H44" s="28">
        <f>H30*Y8</f>
        <v>1584</v>
      </c>
      <c r="I44" s="28">
        <f>SUM(F44:H44)</f>
        <v>4344</v>
      </c>
      <c r="J44" s="28">
        <f>J30*Z8</f>
        <v>1488</v>
      </c>
      <c r="K44" s="28">
        <f>K30*Z8</f>
        <v>1536</v>
      </c>
      <c r="L44" s="28">
        <f>L30*Z8</f>
        <v>1440</v>
      </c>
      <c r="M44" s="28">
        <f>SUM(J44:L44)</f>
        <v>4464</v>
      </c>
      <c r="N44" s="28">
        <f>N30*Z8</f>
        <v>1200</v>
      </c>
      <c r="O44" s="28">
        <f>O30*Z8</f>
        <v>1104</v>
      </c>
      <c r="P44" s="28">
        <f>P30*Z8</f>
        <v>1200</v>
      </c>
      <c r="Q44" s="28">
        <f>SUM(N44:P44)</f>
        <v>3504</v>
      </c>
      <c r="R44" s="29">
        <f>SUM(Q44+M44+I44+E44)</f>
        <v>14784</v>
      </c>
    </row>
    <row r="45" spans="1:18">
      <c r="A45" s="44" t="s">
        <v>44</v>
      </c>
      <c r="B45" s="25">
        <f>SUM(B41:B44)</f>
        <v>16968</v>
      </c>
      <c r="C45" s="25">
        <f>C41+C42+C43+C44</f>
        <v>15818</v>
      </c>
      <c r="D45" s="50">
        <f>D41+D42+D43+D44</f>
        <v>17736</v>
      </c>
      <c r="E45" s="50">
        <f>E41+E42+E43+E44</f>
        <v>50522</v>
      </c>
      <c r="F45" s="28">
        <f>SUM(F41:F44)</f>
        <v>18792</v>
      </c>
      <c r="G45" s="28">
        <f>SUM(G41:G44)</f>
        <v>20470</v>
      </c>
      <c r="H45" s="28">
        <f>SUM(H41:H44)</f>
        <v>22199</v>
      </c>
      <c r="I45" s="28">
        <f>SUM(F45:H45)</f>
        <v>61461</v>
      </c>
      <c r="J45" s="28">
        <v>23080.01</v>
      </c>
      <c r="K45" s="28">
        <v>22330.01</v>
      </c>
      <c r="L45" s="28">
        <f>SUM(L41:L44)</f>
        <v>19900</v>
      </c>
      <c r="M45" s="28">
        <f>SUM(M41:M44)</f>
        <v>61974</v>
      </c>
      <c r="N45" s="28">
        <f>SUM(N41:N44)</f>
        <v>18668</v>
      </c>
      <c r="O45" s="28">
        <f>SUM(O41:O44)</f>
        <v>17518</v>
      </c>
      <c r="P45" s="28">
        <f>SUM(P41:P44)</f>
        <v>15814</v>
      </c>
      <c r="Q45" s="28">
        <f>SUM(N45:P45)</f>
        <v>52000</v>
      </c>
      <c r="R45" s="29">
        <f>SUM(Q45+M45+I45+E45)</f>
        <v>225957</v>
      </c>
    </row>
    <row r="46" spans="1:18">
      <c r="A46" s="56" t="s">
        <v>24</v>
      </c>
      <c r="F46" s="26"/>
      <c r="G46" s="26"/>
      <c r="H46" s="26"/>
      <c r="I46" s="28"/>
      <c r="J46" s="26"/>
      <c r="K46" s="26"/>
      <c r="L46" s="26"/>
      <c r="M46" s="28"/>
      <c r="N46" s="26"/>
      <c r="O46" s="26"/>
      <c r="P46" s="26"/>
      <c r="Q46" s="28"/>
      <c r="R46" s="29"/>
    </row>
    <row r="47" spans="1:18">
      <c r="A47" t="s">
        <v>29</v>
      </c>
      <c r="B47">
        <v>4560</v>
      </c>
      <c r="C47">
        <v>4800</v>
      </c>
      <c r="D47">
        <v>5280</v>
      </c>
      <c r="E47" s="25">
        <f>B47+C47+D47</f>
        <v>14640</v>
      </c>
      <c r="F47" s="26">
        <f>F33*AA5</f>
        <v>5700</v>
      </c>
      <c r="G47" s="26">
        <f>G33*AA5</f>
        <v>6240</v>
      </c>
      <c r="H47" s="26">
        <f>H33*AA5</f>
        <v>6516</v>
      </c>
      <c r="I47" s="28">
        <f>SUM(F47:H47)</f>
        <v>18456</v>
      </c>
      <c r="J47" s="26">
        <f>J33*AB5</f>
        <v>7032</v>
      </c>
      <c r="K47" s="26">
        <f>K33*AB5</f>
        <v>6936</v>
      </c>
      <c r="L47" s="26">
        <f>L33*AB5</f>
        <v>6504</v>
      </c>
      <c r="M47" s="28">
        <f>L47+K47+J47</f>
        <v>20472</v>
      </c>
      <c r="N47" s="26">
        <f>N33*AB5</f>
        <v>5976</v>
      </c>
      <c r="O47" s="26">
        <f>O33*AB5</f>
        <v>5172</v>
      </c>
      <c r="P47" s="26">
        <f>P33*AB5</f>
        <v>4632</v>
      </c>
      <c r="Q47" s="28">
        <f>SUM(N47:P47)</f>
        <v>15780</v>
      </c>
      <c r="R47" s="29">
        <f>SUM(Q47+M47+I47+E47)</f>
        <v>69348</v>
      </c>
    </row>
    <row r="48" spans="1:18">
      <c r="A48" t="s">
        <v>31</v>
      </c>
      <c r="B48">
        <v>3250</v>
      </c>
      <c r="C48">
        <v>3500</v>
      </c>
      <c r="D48">
        <v>4500</v>
      </c>
      <c r="E48" s="25">
        <f>B48+C48+D48</f>
        <v>11250</v>
      </c>
      <c r="F48" s="26">
        <f>F34*AA6</f>
        <v>4925</v>
      </c>
      <c r="G48" s="26">
        <f>G34*AA6</f>
        <v>5875</v>
      </c>
      <c r="H48" s="26">
        <f>H34*AA6</f>
        <v>6400</v>
      </c>
      <c r="I48" s="28">
        <f>SUM(F48:H48)</f>
        <v>17200</v>
      </c>
      <c r="J48" s="26">
        <f>J34*AB6</f>
        <v>7225</v>
      </c>
      <c r="K48" s="26">
        <f>K34*AB6</f>
        <v>7500</v>
      </c>
      <c r="L48" s="26">
        <f>L34*AB6</f>
        <v>6600</v>
      </c>
      <c r="M48" s="28">
        <f>J48+K48+L48</f>
        <v>21325</v>
      </c>
      <c r="N48" s="26">
        <f>N34*AB6</f>
        <v>5525</v>
      </c>
      <c r="O48" s="26">
        <f>O34*AB6</f>
        <v>4750</v>
      </c>
      <c r="P48" s="26">
        <f>P34*AB6</f>
        <v>3900</v>
      </c>
      <c r="Q48" s="28">
        <f>SUM(N48:P48)</f>
        <v>14175</v>
      </c>
      <c r="R48" s="29">
        <f>SUM(Q48+M48+I48+E48)</f>
        <v>63950</v>
      </c>
    </row>
    <row r="49" spans="1:18">
      <c r="A49" s="44" t="s">
        <v>44</v>
      </c>
      <c r="B49" s="25">
        <v>7810</v>
      </c>
      <c r="C49" s="25">
        <v>8300</v>
      </c>
      <c r="D49" s="25">
        <v>9780</v>
      </c>
      <c r="E49" s="46">
        <f>E47+E48</f>
        <v>25890</v>
      </c>
      <c r="F49" s="28">
        <f>SUM(F47:F48)</f>
        <v>10625</v>
      </c>
      <c r="G49" s="28">
        <f>SUM(G47:G48)</f>
        <v>12115</v>
      </c>
      <c r="H49" s="28">
        <f>SUM(H47:H48)</f>
        <v>12916</v>
      </c>
      <c r="I49" s="28">
        <f>SUM(F49:H49)</f>
        <v>35656</v>
      </c>
      <c r="J49" s="28">
        <f>J47+J48</f>
        <v>14257</v>
      </c>
      <c r="K49" s="28">
        <f>K47+K48</f>
        <v>14436</v>
      </c>
      <c r="L49" s="28">
        <f>SUM(L47:L48)</f>
        <v>13104</v>
      </c>
      <c r="M49" s="28">
        <f>L49+K49+J49</f>
        <v>41797</v>
      </c>
      <c r="N49" s="28">
        <f>SUM(N47:N48)</f>
        <v>11501</v>
      </c>
      <c r="O49" s="28">
        <f>SUM(O47:O48)</f>
        <v>9922</v>
      </c>
      <c r="P49" s="28">
        <f>SUM(P47:P48)</f>
        <v>8532</v>
      </c>
      <c r="Q49" s="28">
        <f>SUM(Q47:Q48)</f>
        <v>29955</v>
      </c>
      <c r="R49" s="29">
        <f>Q49+M49+I49+E49</f>
        <v>133298</v>
      </c>
    </row>
    <row r="50" spans="1:18">
      <c r="A50" s="80" t="s">
        <v>20</v>
      </c>
      <c r="B50" s="25">
        <f t="shared" ref="B50:J50" si="2">B45+B49</f>
        <v>24778</v>
      </c>
      <c r="C50" s="25">
        <f t="shared" si="2"/>
        <v>24118</v>
      </c>
      <c r="D50" s="50">
        <f t="shared" si="2"/>
        <v>27516</v>
      </c>
      <c r="E50" s="50">
        <f t="shared" si="2"/>
        <v>76412</v>
      </c>
      <c r="F50" s="50">
        <f t="shared" si="2"/>
        <v>29417</v>
      </c>
      <c r="G50" s="50">
        <f t="shared" si="2"/>
        <v>32585</v>
      </c>
      <c r="H50" s="50">
        <f t="shared" si="2"/>
        <v>35115</v>
      </c>
      <c r="I50" s="50">
        <f t="shared" si="2"/>
        <v>97117</v>
      </c>
      <c r="J50" s="50">
        <f t="shared" si="2"/>
        <v>37337.009999999995</v>
      </c>
      <c r="K50" s="50">
        <f>K49+K45</f>
        <v>36766.009999999995</v>
      </c>
      <c r="L50" s="50">
        <f t="shared" ref="L50:R50" si="3">L45+L49</f>
        <v>33004</v>
      </c>
      <c r="M50" s="50">
        <f t="shared" si="3"/>
        <v>103771</v>
      </c>
      <c r="N50" s="50">
        <f t="shared" si="3"/>
        <v>30169</v>
      </c>
      <c r="O50" s="50">
        <f t="shared" si="3"/>
        <v>27440</v>
      </c>
      <c r="P50" s="50">
        <f t="shared" si="3"/>
        <v>24346</v>
      </c>
      <c r="Q50" s="50">
        <f t="shared" si="3"/>
        <v>81955</v>
      </c>
      <c r="R50" s="50">
        <f t="shared" si="3"/>
        <v>359255</v>
      </c>
    </row>
    <row r="51" spans="1:18" ht="15" thickBot="1">
      <c r="A51" s="213" t="s">
        <v>45</v>
      </c>
      <c r="B51" s="213"/>
      <c r="I51" s="25"/>
      <c r="M51" s="25"/>
      <c r="Q51" s="25"/>
      <c r="R51" s="25"/>
    </row>
    <row r="52" spans="1:18" ht="15" thickTop="1">
      <c r="A52" s="46" t="s">
        <v>3</v>
      </c>
      <c r="B52" s="45" t="s">
        <v>4</v>
      </c>
      <c r="C52" s="45" t="s">
        <v>5</v>
      </c>
      <c r="D52" s="45" t="s">
        <v>6</v>
      </c>
      <c r="E52" s="46" t="s">
        <v>7</v>
      </c>
      <c r="F52" s="61" t="s">
        <v>8</v>
      </c>
      <c r="G52" s="61" t="s">
        <v>9</v>
      </c>
      <c r="H52" s="61" t="s">
        <v>10</v>
      </c>
      <c r="I52" s="59" t="s">
        <v>11</v>
      </c>
      <c r="J52" s="61" t="s">
        <v>12</v>
      </c>
      <c r="K52" s="61" t="s">
        <v>13</v>
      </c>
      <c r="L52" s="61" t="s">
        <v>14</v>
      </c>
      <c r="M52" s="59" t="s">
        <v>15</v>
      </c>
      <c r="N52" s="61" t="s">
        <v>16</v>
      </c>
      <c r="O52" s="61" t="s">
        <v>17</v>
      </c>
      <c r="P52" s="61" t="s">
        <v>18</v>
      </c>
      <c r="Q52" s="59" t="s">
        <v>19</v>
      </c>
      <c r="R52" s="60" t="s">
        <v>20</v>
      </c>
    </row>
    <row r="53" spans="1:18">
      <c r="A53" s="56" t="s">
        <v>23</v>
      </c>
      <c r="F53" s="26"/>
      <c r="G53" s="26"/>
      <c r="H53" s="26"/>
      <c r="I53" s="28"/>
      <c r="J53" s="26"/>
      <c r="K53" s="26"/>
      <c r="L53" s="26"/>
      <c r="M53" s="28"/>
      <c r="N53" s="26"/>
      <c r="O53" s="26"/>
      <c r="P53" s="26"/>
      <c r="Q53" s="28"/>
      <c r="R53" s="29"/>
    </row>
    <row r="54" spans="1:18">
      <c r="A54" t="s">
        <v>29</v>
      </c>
      <c r="B54">
        <f t="shared" ref="B54:D57" si="4">B27-B41</f>
        <v>235200</v>
      </c>
      <c r="C54">
        <f t="shared" si="4"/>
        <v>215600</v>
      </c>
      <c r="D54" s="30">
        <f t="shared" si="4"/>
        <v>235200</v>
      </c>
      <c r="E54" s="50">
        <f>B54+C54+D54</f>
        <v>686000</v>
      </c>
      <c r="F54" s="26">
        <f t="shared" ref="F54:R54" si="5">SUM(F27-F41)</f>
        <v>235200</v>
      </c>
      <c r="G54" s="26">
        <f t="shared" si="5"/>
        <v>254800</v>
      </c>
      <c r="H54" s="26">
        <f t="shared" si="5"/>
        <v>274400</v>
      </c>
      <c r="I54" s="28">
        <f t="shared" si="5"/>
        <v>764400</v>
      </c>
      <c r="J54" s="26">
        <f t="shared" si="5"/>
        <v>266560</v>
      </c>
      <c r="K54" s="26">
        <f t="shared" si="5"/>
        <v>248920</v>
      </c>
      <c r="L54" s="26">
        <f t="shared" si="5"/>
        <v>243040</v>
      </c>
      <c r="M54" s="28">
        <f t="shared" si="5"/>
        <v>758520</v>
      </c>
      <c r="N54" s="26">
        <f t="shared" si="5"/>
        <v>229712</v>
      </c>
      <c r="O54" s="26">
        <f t="shared" si="5"/>
        <v>212464</v>
      </c>
      <c r="P54" s="26">
        <f t="shared" si="5"/>
        <v>196000</v>
      </c>
      <c r="Q54" s="28">
        <f t="shared" si="5"/>
        <v>638176</v>
      </c>
      <c r="R54" s="29">
        <f t="shared" si="5"/>
        <v>2876696</v>
      </c>
    </row>
    <row r="55" spans="1:18">
      <c r="A55" t="s">
        <v>31</v>
      </c>
      <c r="B55">
        <f t="shared" si="4"/>
        <v>291000</v>
      </c>
      <c r="C55">
        <f t="shared" si="4"/>
        <v>266750</v>
      </c>
      <c r="D55">
        <f t="shared" si="4"/>
        <v>291000</v>
      </c>
      <c r="E55" s="25">
        <f>B55+C55+D55</f>
        <v>848750</v>
      </c>
      <c r="F55" s="26">
        <f t="shared" ref="F55:R55" si="6">SUM(F28-F42)</f>
        <v>281300</v>
      </c>
      <c r="G55" s="26">
        <f t="shared" si="6"/>
        <v>295850</v>
      </c>
      <c r="H55" s="26">
        <f t="shared" si="6"/>
        <v>326405</v>
      </c>
      <c r="I55" s="28">
        <f t="shared" si="6"/>
        <v>903555</v>
      </c>
      <c r="J55" s="26">
        <f t="shared" si="6"/>
        <v>318160</v>
      </c>
      <c r="K55" s="26">
        <f t="shared" si="6"/>
        <v>295850</v>
      </c>
      <c r="L55" s="26">
        <f t="shared" si="6"/>
        <v>289060</v>
      </c>
      <c r="M55" s="28">
        <f t="shared" si="6"/>
        <v>903070</v>
      </c>
      <c r="N55" s="26">
        <f t="shared" si="6"/>
        <v>291000</v>
      </c>
      <c r="O55" s="26">
        <f t="shared" si="6"/>
        <v>278390</v>
      </c>
      <c r="P55" s="26">
        <f t="shared" si="6"/>
        <v>260930</v>
      </c>
      <c r="Q55" s="28">
        <f t="shared" si="6"/>
        <v>830320</v>
      </c>
      <c r="R55" s="29">
        <f t="shared" si="6"/>
        <v>3485695</v>
      </c>
    </row>
    <row r="56" spans="1:18">
      <c r="A56" t="s">
        <v>32</v>
      </c>
      <c r="B56">
        <f t="shared" si="4"/>
        <v>57600</v>
      </c>
      <c r="C56">
        <f t="shared" si="4"/>
        <v>57600</v>
      </c>
      <c r="D56">
        <f t="shared" si="4"/>
        <v>72000</v>
      </c>
      <c r="E56" s="25">
        <f>B56+C56+D56</f>
        <v>187200</v>
      </c>
      <c r="F56" s="26">
        <f t="shared" ref="F56:R56" si="7">SUM(F29-F43)</f>
        <v>96480</v>
      </c>
      <c r="G56" s="26">
        <f t="shared" si="7"/>
        <v>111168</v>
      </c>
      <c r="H56" s="26">
        <f t="shared" si="7"/>
        <v>118080</v>
      </c>
      <c r="I56" s="28">
        <f t="shared" si="7"/>
        <v>325728</v>
      </c>
      <c r="J56" s="26">
        <f t="shared" si="7"/>
        <v>112320</v>
      </c>
      <c r="K56" s="26">
        <f t="shared" si="7"/>
        <v>116640</v>
      </c>
      <c r="L56" s="26">
        <f t="shared" si="7"/>
        <v>109440</v>
      </c>
      <c r="M56" s="28">
        <f t="shared" si="7"/>
        <v>338400</v>
      </c>
      <c r="N56" s="26">
        <f t="shared" si="7"/>
        <v>90720</v>
      </c>
      <c r="O56" s="26">
        <f t="shared" si="7"/>
        <v>83232</v>
      </c>
      <c r="P56" s="26">
        <f t="shared" si="7"/>
        <v>61056</v>
      </c>
      <c r="Q56" s="28">
        <f t="shared" si="7"/>
        <v>235008</v>
      </c>
      <c r="R56" s="29">
        <f t="shared" si="7"/>
        <v>1086336</v>
      </c>
    </row>
    <row r="57" spans="1:18">
      <c r="A57" t="s">
        <v>33</v>
      </c>
      <c r="B57" s="25">
        <f t="shared" si="4"/>
        <v>24832</v>
      </c>
      <c r="C57" s="25">
        <f t="shared" si="4"/>
        <v>24832</v>
      </c>
      <c r="D57" s="25">
        <f t="shared" si="4"/>
        <v>30264</v>
      </c>
      <c r="E57" s="25">
        <f>B57+C57+D57</f>
        <v>79928</v>
      </c>
      <c r="F57" s="28">
        <f t="shared" ref="F57:R57" si="8">SUM(F30-F44)</f>
        <v>41128</v>
      </c>
      <c r="G57" s="28">
        <f t="shared" si="8"/>
        <v>48112</v>
      </c>
      <c r="H57" s="28">
        <f t="shared" si="8"/>
        <v>51216</v>
      </c>
      <c r="I57" s="28">
        <f t="shared" si="8"/>
        <v>140456</v>
      </c>
      <c r="J57" s="28">
        <f t="shared" si="8"/>
        <v>48112</v>
      </c>
      <c r="K57" s="28">
        <f t="shared" si="8"/>
        <v>49664</v>
      </c>
      <c r="L57" s="28">
        <f t="shared" si="8"/>
        <v>46560</v>
      </c>
      <c r="M57" s="28">
        <f t="shared" si="8"/>
        <v>144336</v>
      </c>
      <c r="N57" s="28">
        <f t="shared" si="8"/>
        <v>38800</v>
      </c>
      <c r="O57" s="28">
        <f t="shared" si="8"/>
        <v>35696</v>
      </c>
      <c r="P57" s="28">
        <f t="shared" si="8"/>
        <v>38800</v>
      </c>
      <c r="Q57" s="28">
        <f t="shared" si="8"/>
        <v>113296</v>
      </c>
      <c r="R57" s="29">
        <f t="shared" si="8"/>
        <v>478016</v>
      </c>
    </row>
    <row r="58" spans="1:18">
      <c r="A58" s="44" t="s">
        <v>44</v>
      </c>
      <c r="B58" s="25">
        <f>B54+B55+B56+B57</f>
        <v>608632</v>
      </c>
      <c r="C58" s="25">
        <f>C54+C55+C56+C57</f>
        <v>564782</v>
      </c>
      <c r="D58" s="50">
        <f>D54+D55+D56+D57</f>
        <v>628464</v>
      </c>
      <c r="E58" s="50">
        <f>B58+C58+D58</f>
        <v>1801878</v>
      </c>
      <c r="F58" s="28">
        <f t="shared" ref="F58:R58" si="9">SUM(F54:F57)</f>
        <v>654108</v>
      </c>
      <c r="G58" s="28">
        <f t="shared" si="9"/>
        <v>709930</v>
      </c>
      <c r="H58" s="28">
        <f t="shared" si="9"/>
        <v>770101</v>
      </c>
      <c r="I58" s="28">
        <f t="shared" si="9"/>
        <v>2134139</v>
      </c>
      <c r="J58" s="28">
        <f t="shared" si="9"/>
        <v>745152</v>
      </c>
      <c r="K58" s="28">
        <f t="shared" si="9"/>
        <v>711074</v>
      </c>
      <c r="L58" s="28">
        <f t="shared" si="9"/>
        <v>688100</v>
      </c>
      <c r="M58" s="28">
        <f t="shared" si="9"/>
        <v>2144326</v>
      </c>
      <c r="N58" s="28">
        <f t="shared" si="9"/>
        <v>650232</v>
      </c>
      <c r="O58" s="28">
        <f t="shared" si="9"/>
        <v>609782</v>
      </c>
      <c r="P58" s="28">
        <f t="shared" si="9"/>
        <v>556786</v>
      </c>
      <c r="Q58" s="28">
        <f t="shared" si="9"/>
        <v>1816800</v>
      </c>
      <c r="R58" s="29">
        <f t="shared" si="9"/>
        <v>7926743</v>
      </c>
    </row>
    <row r="59" spans="1:18">
      <c r="A59" s="56" t="s">
        <v>24</v>
      </c>
      <c r="F59" s="26"/>
      <c r="G59" s="26"/>
      <c r="H59" s="26"/>
      <c r="I59" s="28"/>
      <c r="J59" s="26"/>
      <c r="K59" s="26"/>
      <c r="L59" s="26"/>
      <c r="M59" s="28"/>
      <c r="N59" s="26"/>
      <c r="O59" s="26"/>
      <c r="P59" s="26"/>
      <c r="Q59" s="28"/>
      <c r="R59" s="29"/>
    </row>
    <row r="60" spans="1:18">
      <c r="A60" t="s">
        <v>29</v>
      </c>
      <c r="B60">
        <f t="shared" ref="B60:D61" si="10">B33-B47</f>
        <v>147440</v>
      </c>
      <c r="C60">
        <f t="shared" si="10"/>
        <v>155200</v>
      </c>
      <c r="D60">
        <f t="shared" si="10"/>
        <v>170720</v>
      </c>
      <c r="E60" s="25">
        <f>B60+C60+D60</f>
        <v>473360</v>
      </c>
      <c r="F60" s="26">
        <f t="shared" ref="F60:R60" si="11">SUM(F33-F47)</f>
        <v>184300</v>
      </c>
      <c r="G60" s="26">
        <f t="shared" si="11"/>
        <v>201760</v>
      </c>
      <c r="H60" s="26">
        <f t="shared" si="11"/>
        <v>210684</v>
      </c>
      <c r="I60" s="28">
        <f t="shared" si="11"/>
        <v>596744</v>
      </c>
      <c r="J60" s="26">
        <f t="shared" si="11"/>
        <v>227368</v>
      </c>
      <c r="K60" s="26">
        <f t="shared" si="11"/>
        <v>224264</v>
      </c>
      <c r="L60" s="26">
        <f t="shared" si="11"/>
        <v>210296</v>
      </c>
      <c r="M60" s="28">
        <f t="shared" si="11"/>
        <v>661928</v>
      </c>
      <c r="N60" s="26">
        <f t="shared" si="11"/>
        <v>193224</v>
      </c>
      <c r="O60" s="26">
        <f t="shared" si="11"/>
        <v>167228</v>
      </c>
      <c r="P60" s="26">
        <f t="shared" si="11"/>
        <v>149768</v>
      </c>
      <c r="Q60" s="28">
        <f t="shared" si="11"/>
        <v>510220</v>
      </c>
      <c r="R60" s="29">
        <f t="shared" si="11"/>
        <v>2242252</v>
      </c>
    </row>
    <row r="61" spans="1:18">
      <c r="A61" t="s">
        <v>31</v>
      </c>
      <c r="B61">
        <f t="shared" si="10"/>
        <v>61750</v>
      </c>
      <c r="C61">
        <f t="shared" si="10"/>
        <v>66500</v>
      </c>
      <c r="D61">
        <f t="shared" si="10"/>
        <v>85500</v>
      </c>
      <c r="E61" s="25">
        <f>B61+C61+D61</f>
        <v>213750</v>
      </c>
      <c r="F61" s="26">
        <f t="shared" ref="F61:R61" si="12">SUM(F34-F48)</f>
        <v>93575</v>
      </c>
      <c r="G61" s="26">
        <f t="shared" si="12"/>
        <v>111625</v>
      </c>
      <c r="H61" s="26">
        <f t="shared" si="12"/>
        <v>121600</v>
      </c>
      <c r="I61" s="28">
        <f t="shared" si="12"/>
        <v>326800</v>
      </c>
      <c r="J61" s="26">
        <f t="shared" si="12"/>
        <v>137275</v>
      </c>
      <c r="K61" s="26">
        <f t="shared" si="12"/>
        <v>142500</v>
      </c>
      <c r="L61" s="26">
        <f t="shared" si="12"/>
        <v>125400</v>
      </c>
      <c r="M61" s="28">
        <f t="shared" si="12"/>
        <v>405175</v>
      </c>
      <c r="N61" s="26">
        <f t="shared" si="12"/>
        <v>104975</v>
      </c>
      <c r="O61" s="26">
        <f t="shared" si="12"/>
        <v>90250</v>
      </c>
      <c r="P61" s="26">
        <f t="shared" si="12"/>
        <v>74100</v>
      </c>
      <c r="Q61" s="28">
        <f t="shared" si="12"/>
        <v>269325</v>
      </c>
      <c r="R61" s="29">
        <f t="shared" si="12"/>
        <v>1215050</v>
      </c>
    </row>
    <row r="62" spans="1:18">
      <c r="A62" s="44" t="s">
        <v>44</v>
      </c>
      <c r="B62" s="25">
        <f>B60+B61</f>
        <v>209190</v>
      </c>
      <c r="C62" s="25">
        <f>C60+C61</f>
        <v>221700</v>
      </c>
      <c r="D62" s="25">
        <f>D60+D61</f>
        <v>256220</v>
      </c>
      <c r="E62" s="25">
        <f>B62+C62+D62</f>
        <v>687110</v>
      </c>
      <c r="F62" s="28">
        <f t="shared" ref="F62:Q62" si="13">SUM(F60:F61)</f>
        <v>277875</v>
      </c>
      <c r="G62" s="28">
        <f t="shared" si="13"/>
        <v>313385</v>
      </c>
      <c r="H62" s="28">
        <f t="shared" si="13"/>
        <v>332284</v>
      </c>
      <c r="I62" s="28">
        <f t="shared" si="13"/>
        <v>923544</v>
      </c>
      <c r="J62" s="28">
        <f t="shared" si="13"/>
        <v>364643</v>
      </c>
      <c r="K62" s="28">
        <f t="shared" si="13"/>
        <v>366764</v>
      </c>
      <c r="L62" s="28">
        <f t="shared" si="13"/>
        <v>335696</v>
      </c>
      <c r="M62" s="28">
        <f t="shared" si="13"/>
        <v>1067103</v>
      </c>
      <c r="N62" s="28">
        <f t="shared" si="13"/>
        <v>298199</v>
      </c>
      <c r="O62" s="28">
        <f t="shared" si="13"/>
        <v>257478</v>
      </c>
      <c r="P62" s="28">
        <f t="shared" si="13"/>
        <v>223868</v>
      </c>
      <c r="Q62" s="28">
        <f t="shared" si="13"/>
        <v>779545</v>
      </c>
      <c r="R62" s="29">
        <f>SUM(R35-R49)</f>
        <v>3457302</v>
      </c>
    </row>
    <row r="63" spans="1:18">
      <c r="A63" s="80" t="s">
        <v>20</v>
      </c>
      <c r="B63" s="25">
        <f t="shared" ref="B63:R63" si="14">B58+B62</f>
        <v>817822</v>
      </c>
      <c r="C63" s="25">
        <f t="shared" si="14"/>
        <v>786482</v>
      </c>
      <c r="D63" s="50">
        <f t="shared" si="14"/>
        <v>884684</v>
      </c>
      <c r="E63" s="50">
        <f t="shared" si="14"/>
        <v>2488988</v>
      </c>
      <c r="F63" s="50">
        <f t="shared" si="14"/>
        <v>931983</v>
      </c>
      <c r="G63" s="50">
        <f t="shared" si="14"/>
        <v>1023315</v>
      </c>
      <c r="H63" s="50">
        <f t="shared" si="14"/>
        <v>1102385</v>
      </c>
      <c r="I63" s="50">
        <f t="shared" si="14"/>
        <v>3057683</v>
      </c>
      <c r="J63" s="50">
        <f t="shared" si="14"/>
        <v>1109795</v>
      </c>
      <c r="K63" s="50">
        <f t="shared" si="14"/>
        <v>1077838</v>
      </c>
      <c r="L63" s="50">
        <f t="shared" si="14"/>
        <v>1023796</v>
      </c>
      <c r="M63" s="50">
        <f t="shared" si="14"/>
        <v>3211429</v>
      </c>
      <c r="N63" s="50">
        <f t="shared" si="14"/>
        <v>948431</v>
      </c>
      <c r="O63" s="50">
        <f t="shared" si="14"/>
        <v>867260</v>
      </c>
      <c r="P63" s="50">
        <f t="shared" si="14"/>
        <v>780654</v>
      </c>
      <c r="Q63" s="50">
        <f t="shared" si="14"/>
        <v>2596345</v>
      </c>
      <c r="R63" s="50">
        <f t="shared" si="14"/>
        <v>11384045</v>
      </c>
    </row>
    <row r="64" spans="1:18">
      <c r="B64" s="68"/>
      <c r="C64" s="67" t="s">
        <v>46</v>
      </c>
      <c r="D64" s="67" t="s">
        <v>46</v>
      </c>
      <c r="E64" s="67" t="s">
        <v>46</v>
      </c>
      <c r="I64" s="25"/>
      <c r="M64" s="25"/>
      <c r="Q64" s="25"/>
      <c r="R64" s="25"/>
    </row>
    <row r="65" spans="1:18" ht="15" customHeight="1" thickBot="1">
      <c r="A65" s="217" t="s">
        <v>47</v>
      </c>
      <c r="B65" s="217"/>
      <c r="C65" s="217"/>
      <c r="D65" s="69"/>
      <c r="E65" s="69"/>
      <c r="I65" s="25"/>
      <c r="M65" s="25"/>
      <c r="Q65" s="25"/>
      <c r="R65" s="25"/>
    </row>
    <row r="66" spans="1:18" ht="15" thickTop="1">
      <c r="A66" s="46" t="s">
        <v>3</v>
      </c>
      <c r="B66" s="45" t="s">
        <v>4</v>
      </c>
      <c r="C66" s="45" t="s">
        <v>5</v>
      </c>
      <c r="D66" s="45" t="s">
        <v>6</v>
      </c>
      <c r="E66" s="46" t="s">
        <v>7</v>
      </c>
      <c r="F66" s="61" t="s">
        <v>8</v>
      </c>
      <c r="G66" s="61" t="s">
        <v>9</v>
      </c>
      <c r="H66" s="61" t="s">
        <v>10</v>
      </c>
      <c r="I66" s="59" t="s">
        <v>11</v>
      </c>
      <c r="J66" s="61" t="s">
        <v>12</v>
      </c>
      <c r="K66" s="61" t="s">
        <v>13</v>
      </c>
      <c r="L66" s="61" t="s">
        <v>14</v>
      </c>
      <c r="M66" s="59" t="s">
        <v>15</v>
      </c>
      <c r="N66" s="61" t="s">
        <v>16</v>
      </c>
      <c r="O66" s="61" t="s">
        <v>17</v>
      </c>
      <c r="P66" s="61" t="s">
        <v>18</v>
      </c>
      <c r="Q66" s="59" t="s">
        <v>19</v>
      </c>
      <c r="R66" s="60" t="s">
        <v>20</v>
      </c>
    </row>
    <row r="67" spans="1:18">
      <c r="A67" s="56" t="s">
        <v>23</v>
      </c>
      <c r="F67" s="26"/>
      <c r="G67" s="26"/>
      <c r="H67" s="26"/>
      <c r="I67" s="28"/>
      <c r="J67" s="26"/>
      <c r="K67" s="26"/>
      <c r="L67" s="26"/>
      <c r="M67" s="28"/>
      <c r="N67" s="26"/>
      <c r="O67" s="26"/>
      <c r="P67" s="26"/>
      <c r="Q67" s="28"/>
      <c r="R67" s="29"/>
    </row>
    <row r="68" spans="1:18">
      <c r="A68" t="s">
        <v>29</v>
      </c>
      <c r="B68">
        <f>SUM(B5*B18*0.02)</f>
        <v>4800</v>
      </c>
      <c r="C68">
        <f>SUM(C5*B18*0.02)</f>
        <v>4400</v>
      </c>
      <c r="D68" s="30">
        <f>D5*B18*0.02</f>
        <v>4800</v>
      </c>
      <c r="E68" s="50">
        <f>SUM(B68:D68)</f>
        <v>14000</v>
      </c>
      <c r="F68" s="26">
        <f t="shared" ref="F68:G70" si="15">SUM(F5*B18*0.02)</f>
        <v>4800</v>
      </c>
      <c r="G68" s="26">
        <f t="shared" si="15"/>
        <v>5200</v>
      </c>
      <c r="H68" s="26">
        <f>SUM(H5*C18*0.02)</f>
        <v>5600</v>
      </c>
      <c r="I68" s="28">
        <f>SUM(F68:H68)</f>
        <v>15600</v>
      </c>
      <c r="J68" s="26">
        <f>SUM(J5*C18*0.02)</f>
        <v>5440</v>
      </c>
      <c r="K68" s="26">
        <f>SUM(K5*C18*0.02)</f>
        <v>5080</v>
      </c>
      <c r="L68" s="26">
        <f>SUM(L5*C18*0.02)</f>
        <v>4960</v>
      </c>
      <c r="M68" s="28">
        <f>SUM(J68:L68)</f>
        <v>15480</v>
      </c>
      <c r="N68" s="26">
        <f>SUM(N5*C18*0.02)</f>
        <v>4688</v>
      </c>
      <c r="O68" s="26">
        <f>SUM(O5*C18*0.02)</f>
        <v>4336</v>
      </c>
      <c r="P68" s="26">
        <f>SUM(P5*C18*0.02)</f>
        <v>4000</v>
      </c>
      <c r="Q68" s="28">
        <f>SUM(N68:P68)</f>
        <v>13024</v>
      </c>
      <c r="R68" s="29">
        <f>SUM(E68+I68+M68+Q68)</f>
        <v>58104</v>
      </c>
    </row>
    <row r="69" spans="1:18">
      <c r="A69" t="s">
        <v>31</v>
      </c>
      <c r="B69">
        <f>SUM(B6*B19*0.02)</f>
        <v>6000</v>
      </c>
      <c r="C69">
        <f>SUM(C6*B19*0.02)</f>
        <v>5500</v>
      </c>
      <c r="D69">
        <f>SUM(D6*B19*0.02)</f>
        <v>6000</v>
      </c>
      <c r="E69" s="25">
        <f>SUM(B69:D69)</f>
        <v>17500</v>
      </c>
      <c r="F69" s="26">
        <f t="shared" si="15"/>
        <v>5800</v>
      </c>
      <c r="G69" s="26">
        <f t="shared" si="15"/>
        <v>6100</v>
      </c>
      <c r="H69" s="26">
        <f>SUM(H6*C19*0.02)</f>
        <v>6730</v>
      </c>
      <c r="I69" s="28">
        <f>SUM(F69:H69)</f>
        <v>18630</v>
      </c>
      <c r="J69" s="26">
        <f>SUM(J6*C19*0.02)</f>
        <v>6560</v>
      </c>
      <c r="K69" s="26">
        <f>SUM(K6*C19*0.02)</f>
        <v>6100</v>
      </c>
      <c r="L69" s="26">
        <f>SUM(L6*C19*0.02)</f>
        <v>5960</v>
      </c>
      <c r="M69" s="28">
        <f>SUM(J69:L69)</f>
        <v>18620</v>
      </c>
      <c r="N69" s="26">
        <f>SUM(N6*C19*0.02)</f>
        <v>6000</v>
      </c>
      <c r="O69" s="26">
        <f>SUM(O6*C19*0.02)</f>
        <v>5740</v>
      </c>
      <c r="P69" s="26">
        <f>SUM(P6*C19*0.02)</f>
        <v>5380</v>
      </c>
      <c r="Q69" s="28">
        <f>SUM(N69:P69)</f>
        <v>17120</v>
      </c>
      <c r="R69" s="29">
        <f>SUM(E69+I69+M69+Q69)</f>
        <v>71870</v>
      </c>
    </row>
    <row r="70" spans="1:18">
      <c r="A70" t="s">
        <v>32</v>
      </c>
      <c r="B70">
        <f>SUM(B7*B20*0.02)</f>
        <v>1200</v>
      </c>
      <c r="C70">
        <f>SUM(C7*B20*0.02)</f>
        <v>1200</v>
      </c>
      <c r="D70">
        <f>SUM(D7*B20*0.02)</f>
        <v>1500</v>
      </c>
      <c r="E70" s="25">
        <f>SUM(B70:D70)</f>
        <v>3900</v>
      </c>
      <c r="F70" s="26">
        <f t="shared" si="15"/>
        <v>2010</v>
      </c>
      <c r="G70" s="26">
        <f t="shared" si="15"/>
        <v>2316</v>
      </c>
      <c r="H70" s="26">
        <f>SUM(H7*C20*0.02)</f>
        <v>2460</v>
      </c>
      <c r="I70" s="28">
        <f>SUM(F70:H70)</f>
        <v>6786</v>
      </c>
      <c r="J70" s="26">
        <f>SUM(J7*C20*0.02)</f>
        <v>2340</v>
      </c>
      <c r="K70" s="26">
        <f>SUM(K7*C20*0.02)</f>
        <v>2430</v>
      </c>
      <c r="L70" s="26">
        <f>SUM(L7*C20*0.02)</f>
        <v>2280</v>
      </c>
      <c r="M70" s="28">
        <f>SUM(J70:L70)</f>
        <v>7050</v>
      </c>
      <c r="N70" s="26">
        <f>SUM(N7*C20*0.02)</f>
        <v>1890</v>
      </c>
      <c r="O70" s="26">
        <f>SUM(O7*C20*0.02)</f>
        <v>1734</v>
      </c>
      <c r="P70" s="26">
        <f>SUM(P7*C20*0.02)</f>
        <v>1272</v>
      </c>
      <c r="Q70" s="28">
        <f>SUM(N70:P70)</f>
        <v>4896</v>
      </c>
      <c r="R70" s="29">
        <f>SUM(E70+I70+M70+Q70)</f>
        <v>22632</v>
      </c>
    </row>
    <row r="71" spans="1:18">
      <c r="A71" t="s">
        <v>33</v>
      </c>
      <c r="B71" s="25">
        <f>SUM(B8*B21*Y22)</f>
        <v>512</v>
      </c>
      <c r="C71" s="25">
        <f>SUM(C8*B21*Y22)</f>
        <v>512</v>
      </c>
      <c r="D71" s="25">
        <f>SUM(D8*B21*Y22)</f>
        <v>624</v>
      </c>
      <c r="E71" s="25">
        <f>SUM(B71:D71)</f>
        <v>1648</v>
      </c>
      <c r="F71" s="28">
        <f>SUM(F8*B21*Y22)</f>
        <v>848</v>
      </c>
      <c r="G71" s="28">
        <f>SUM(G8*B21*Y22)</f>
        <v>992</v>
      </c>
      <c r="H71" s="28">
        <f>SUM(H8*B21*Y22)</f>
        <v>1056</v>
      </c>
      <c r="I71" s="28">
        <f>SUM(F71:H71)</f>
        <v>2896</v>
      </c>
      <c r="J71" s="28">
        <f>SUM(J8*C21*Z22)</f>
        <v>992</v>
      </c>
      <c r="K71" s="28">
        <f>SUM(K8*C21*Z22)</f>
        <v>1024</v>
      </c>
      <c r="L71" s="28">
        <f>SUM(L8*C21*Z22)</f>
        <v>960</v>
      </c>
      <c r="M71" s="28">
        <f>SUM(J71:L71)</f>
        <v>2976</v>
      </c>
      <c r="N71" s="28">
        <f>SUM(N8*C21*Z22)</f>
        <v>800</v>
      </c>
      <c r="O71" s="28">
        <f>SUM(O8*C21*Z22)</f>
        <v>736</v>
      </c>
      <c r="P71" s="28">
        <f>SUM(P8*C21*Z22)</f>
        <v>800</v>
      </c>
      <c r="Q71" s="28">
        <f>SUM(N71:P71)</f>
        <v>2336</v>
      </c>
      <c r="R71" s="29">
        <f>SUM(E71+I71+M71+Q71)</f>
        <v>9856</v>
      </c>
    </row>
    <row r="72" spans="1:18">
      <c r="A72" s="44" t="s">
        <v>44</v>
      </c>
      <c r="B72" s="25">
        <f t="shared" ref="B72:R72" si="16">SUM(B68:B71)</f>
        <v>12512</v>
      </c>
      <c r="C72" s="25">
        <f t="shared" si="16"/>
        <v>11612</v>
      </c>
      <c r="D72" s="50">
        <f t="shared" si="16"/>
        <v>12924</v>
      </c>
      <c r="E72" s="50">
        <f t="shared" si="16"/>
        <v>37048</v>
      </c>
      <c r="F72" s="28">
        <f t="shared" si="16"/>
        <v>13458</v>
      </c>
      <c r="G72" s="28">
        <f t="shared" si="16"/>
        <v>14608</v>
      </c>
      <c r="H72" s="28">
        <f t="shared" si="16"/>
        <v>15846</v>
      </c>
      <c r="I72" s="28">
        <f t="shared" si="16"/>
        <v>43912</v>
      </c>
      <c r="J72" s="28">
        <f t="shared" si="16"/>
        <v>15332</v>
      </c>
      <c r="K72" s="28">
        <f t="shared" si="16"/>
        <v>14634</v>
      </c>
      <c r="L72" s="28">
        <f t="shared" si="16"/>
        <v>14160</v>
      </c>
      <c r="M72" s="28">
        <f t="shared" si="16"/>
        <v>44126</v>
      </c>
      <c r="N72" s="28">
        <f t="shared" si="16"/>
        <v>13378</v>
      </c>
      <c r="O72" s="28">
        <f t="shared" si="16"/>
        <v>12546</v>
      </c>
      <c r="P72" s="28">
        <f t="shared" si="16"/>
        <v>11452</v>
      </c>
      <c r="Q72" s="28">
        <f t="shared" si="16"/>
        <v>37376</v>
      </c>
      <c r="R72" s="29">
        <f t="shared" si="16"/>
        <v>162462</v>
      </c>
    </row>
    <row r="73" spans="1:18">
      <c r="A73" s="56" t="s">
        <v>24</v>
      </c>
      <c r="F73" s="26"/>
      <c r="G73" s="26"/>
      <c r="H73" s="26"/>
      <c r="I73" s="28"/>
      <c r="J73" s="26"/>
      <c r="K73" s="26"/>
      <c r="L73" s="26"/>
      <c r="M73" s="28"/>
      <c r="N73" s="26"/>
      <c r="O73" s="26"/>
      <c r="P73" s="26"/>
      <c r="Q73" s="28"/>
      <c r="R73" s="29"/>
    </row>
    <row r="74" spans="1:18">
      <c r="A74" t="s">
        <v>29</v>
      </c>
      <c r="B74">
        <f>SUM(B10*D18*0.03)</f>
        <v>4560</v>
      </c>
      <c r="C74">
        <f>SUM(C10*D19*0.03)</f>
        <v>6000</v>
      </c>
      <c r="D74">
        <f>SUM(D10*D18*0.03)</f>
        <v>5280</v>
      </c>
      <c r="E74" s="25">
        <f>SUM(B74:D74)</f>
        <v>15840</v>
      </c>
      <c r="F74" s="26">
        <f>SUM(F10*D18*0.03)</f>
        <v>5700</v>
      </c>
      <c r="G74" s="26">
        <f>SUM(G10*D18*0.03)</f>
        <v>6240</v>
      </c>
      <c r="H74" s="26">
        <f>SUM(H10*D18*0.03)</f>
        <v>6516</v>
      </c>
      <c r="I74" s="28">
        <f>SUM(F74:H74)</f>
        <v>18456</v>
      </c>
      <c r="J74" s="26">
        <f>SUM(J10*E18*0.03)</f>
        <v>7032</v>
      </c>
      <c r="K74" s="26">
        <f>SUM(K10*E18*0.03)</f>
        <v>6936</v>
      </c>
      <c r="L74" s="26">
        <f>SUM(L10*E18*0.03)</f>
        <v>6504</v>
      </c>
      <c r="M74" s="28">
        <f>SUM(J74:L74)</f>
        <v>20472</v>
      </c>
      <c r="N74" s="26">
        <f>SUM(N10*E18*0.03)</f>
        <v>5976</v>
      </c>
      <c r="O74" s="26">
        <f>SUM(O10*E18*0.03)</f>
        <v>5172</v>
      </c>
      <c r="P74" s="26">
        <f>SUM(P10*E18*0.03)</f>
        <v>4632</v>
      </c>
      <c r="Q74" s="28">
        <f>SUM(N74:P74)</f>
        <v>15780</v>
      </c>
      <c r="R74" s="29">
        <f>SUM(E74+I74+M74+Q74)</f>
        <v>70548</v>
      </c>
    </row>
    <row r="75" spans="1:18">
      <c r="A75" t="s">
        <v>31</v>
      </c>
      <c r="B75">
        <f>SUM(B11*D19*0.03)</f>
        <v>1950</v>
      </c>
      <c r="C75">
        <f>SUM(C11*D19*0.03)</f>
        <v>2100</v>
      </c>
      <c r="D75">
        <f>SUM(D11*D19*0.03)</f>
        <v>2700</v>
      </c>
      <c r="E75" s="25">
        <f>SUM(A75:D75)</f>
        <v>6750</v>
      </c>
      <c r="F75" s="26">
        <f>SUM(F11*D19*0.03)</f>
        <v>2955</v>
      </c>
      <c r="G75" s="26">
        <f>SUM(G11*D19*0.03)</f>
        <v>3525</v>
      </c>
      <c r="H75" s="26">
        <f>SUM(H11*D19*0.03)</f>
        <v>3840</v>
      </c>
      <c r="I75" s="28">
        <f>SUM(F75:H75)</f>
        <v>10320</v>
      </c>
      <c r="J75" s="26">
        <f>SUM(J11*E19*0.03)</f>
        <v>4335</v>
      </c>
      <c r="K75" s="26">
        <f>SUM(K11*E19*0.03)</f>
        <v>4500</v>
      </c>
      <c r="L75" s="26">
        <f>SUM(L11*E19*0.03)</f>
        <v>3960</v>
      </c>
      <c r="M75" s="28">
        <f>SUM(J75:L75)</f>
        <v>12795</v>
      </c>
      <c r="N75" s="26">
        <f>SUM(N11*E19*0.03)</f>
        <v>3315</v>
      </c>
      <c r="O75" s="26">
        <f>SUM(O11*E19*0.03)</f>
        <v>2850</v>
      </c>
      <c r="P75" s="26">
        <f>SUM(P11*E19*0.03)</f>
        <v>2340</v>
      </c>
      <c r="Q75" s="28">
        <f>SUM(N75:P75)</f>
        <v>8505</v>
      </c>
      <c r="R75" s="29">
        <f>SUM(E75+I75+M75+Q75)</f>
        <v>38370</v>
      </c>
    </row>
    <row r="76" spans="1:18" ht="14.25" customHeight="1">
      <c r="A76" s="44" t="s">
        <v>44</v>
      </c>
      <c r="B76" s="25">
        <f t="shared" ref="B76:R76" si="17">SUM(B74:B75)</f>
        <v>6510</v>
      </c>
      <c r="C76" s="25">
        <f t="shared" si="17"/>
        <v>8100</v>
      </c>
      <c r="D76" s="25">
        <f t="shared" si="17"/>
        <v>7980</v>
      </c>
      <c r="E76" s="25">
        <f t="shared" si="17"/>
        <v>22590</v>
      </c>
      <c r="F76" s="28">
        <f t="shared" si="17"/>
        <v>8655</v>
      </c>
      <c r="G76" s="28">
        <f t="shared" si="17"/>
        <v>9765</v>
      </c>
      <c r="H76" s="28">
        <f t="shared" si="17"/>
        <v>10356</v>
      </c>
      <c r="I76" s="28">
        <f t="shared" si="17"/>
        <v>28776</v>
      </c>
      <c r="J76" s="28">
        <f t="shared" si="17"/>
        <v>11367</v>
      </c>
      <c r="K76" s="28">
        <f t="shared" si="17"/>
        <v>11436</v>
      </c>
      <c r="L76" s="28">
        <f t="shared" si="17"/>
        <v>10464</v>
      </c>
      <c r="M76" s="28">
        <f t="shared" si="17"/>
        <v>33267</v>
      </c>
      <c r="N76" s="28">
        <f t="shared" si="17"/>
        <v>9291</v>
      </c>
      <c r="O76" s="28">
        <f t="shared" si="17"/>
        <v>8022</v>
      </c>
      <c r="P76" s="28">
        <f t="shared" si="17"/>
        <v>6972</v>
      </c>
      <c r="Q76" s="28">
        <f t="shared" si="17"/>
        <v>24285</v>
      </c>
      <c r="R76" s="29">
        <f t="shared" si="17"/>
        <v>108918</v>
      </c>
    </row>
    <row r="77" spans="1:18">
      <c r="A77" s="80" t="s">
        <v>20</v>
      </c>
      <c r="B77" s="25">
        <f t="shared" ref="B77:Q77" si="18">B72+B76</f>
        <v>19022</v>
      </c>
      <c r="C77" s="25">
        <f t="shared" si="18"/>
        <v>19712</v>
      </c>
      <c r="D77" s="50">
        <f t="shared" si="18"/>
        <v>20904</v>
      </c>
      <c r="E77" s="50">
        <f t="shared" si="18"/>
        <v>59638</v>
      </c>
      <c r="F77" s="50">
        <f t="shared" si="18"/>
        <v>22113</v>
      </c>
      <c r="G77" s="50">
        <f t="shared" si="18"/>
        <v>24373</v>
      </c>
      <c r="H77" s="50">
        <f t="shared" si="18"/>
        <v>26202</v>
      </c>
      <c r="I77" s="50">
        <f t="shared" si="18"/>
        <v>72688</v>
      </c>
      <c r="J77" s="50">
        <f t="shared" si="18"/>
        <v>26699</v>
      </c>
      <c r="K77" s="50">
        <f t="shared" si="18"/>
        <v>26070</v>
      </c>
      <c r="L77" s="50">
        <f t="shared" si="18"/>
        <v>24624</v>
      </c>
      <c r="M77" s="50">
        <f t="shared" si="18"/>
        <v>77393</v>
      </c>
      <c r="N77" s="50">
        <f t="shared" si="18"/>
        <v>22669</v>
      </c>
      <c r="O77" s="50">
        <f t="shared" si="18"/>
        <v>20568</v>
      </c>
      <c r="P77" s="50">
        <f t="shared" si="18"/>
        <v>18424</v>
      </c>
      <c r="Q77" s="50">
        <f t="shared" si="18"/>
        <v>61661</v>
      </c>
      <c r="R77" s="50">
        <f>Q76+M77+I77+E77</f>
        <v>234004</v>
      </c>
    </row>
    <row r="78" spans="1:18">
      <c r="I78" s="25"/>
      <c r="L78" s="50"/>
      <c r="M78" s="25"/>
      <c r="Q78" s="25"/>
      <c r="R78" s="25"/>
    </row>
    <row r="79" spans="1:18" ht="15" thickBot="1">
      <c r="A79" s="206" t="s">
        <v>48</v>
      </c>
      <c r="B79" s="206"/>
      <c r="C79" s="1"/>
      <c r="D79" s="69"/>
      <c r="E79" s="69"/>
      <c r="I79" s="25"/>
      <c r="M79" s="25"/>
      <c r="Q79" s="25"/>
      <c r="R79" s="25"/>
    </row>
    <row r="80" spans="1:18" ht="15" thickTop="1">
      <c r="A80" s="46" t="s">
        <v>3</v>
      </c>
      <c r="B80" s="45" t="s">
        <v>4</v>
      </c>
      <c r="C80" s="45" t="s">
        <v>5</v>
      </c>
      <c r="D80" s="45" t="s">
        <v>6</v>
      </c>
      <c r="E80" s="46" t="s">
        <v>7</v>
      </c>
      <c r="F80" s="61" t="s">
        <v>8</v>
      </c>
      <c r="G80" s="61" t="s">
        <v>9</v>
      </c>
      <c r="H80" s="61" t="s">
        <v>10</v>
      </c>
      <c r="I80" s="59" t="s">
        <v>11</v>
      </c>
      <c r="J80" s="61" t="s">
        <v>12</v>
      </c>
      <c r="K80" s="61" t="s">
        <v>13</v>
      </c>
      <c r="L80" s="61" t="s">
        <v>14</v>
      </c>
      <c r="M80" s="59" t="s">
        <v>15</v>
      </c>
      <c r="N80" s="61" t="s">
        <v>16</v>
      </c>
      <c r="O80" s="61" t="s">
        <v>17</v>
      </c>
      <c r="P80" s="61" t="s">
        <v>18</v>
      </c>
      <c r="Q80" s="59" t="s">
        <v>19</v>
      </c>
      <c r="R80" s="60" t="s">
        <v>20</v>
      </c>
    </row>
    <row r="81" spans="1:18">
      <c r="A81" s="56" t="s">
        <v>23</v>
      </c>
      <c r="F81" s="26"/>
      <c r="G81" s="26"/>
      <c r="H81" s="26"/>
      <c r="I81" s="28"/>
      <c r="J81" s="26"/>
      <c r="K81" s="26"/>
      <c r="L81" s="26"/>
      <c r="M81" s="28"/>
      <c r="N81" s="26"/>
      <c r="O81" s="26"/>
      <c r="P81" s="26"/>
      <c r="Q81" s="28"/>
      <c r="R81" s="29"/>
    </row>
    <row r="82" spans="1:18">
      <c r="A82" t="s">
        <v>29</v>
      </c>
      <c r="B82">
        <f>B5*Y12</f>
        <v>1800</v>
      </c>
      <c r="C82">
        <f>C5*Y12</f>
        <v>1650</v>
      </c>
      <c r="D82" s="30">
        <f>D5*Y12</f>
        <v>1800</v>
      </c>
      <c r="E82" s="50">
        <f>SUM(B82:D82)</f>
        <v>5250</v>
      </c>
      <c r="F82" s="26">
        <f>F5*Y12</f>
        <v>1800</v>
      </c>
      <c r="G82" s="26">
        <f>G5*Y12</f>
        <v>1950</v>
      </c>
      <c r="H82" s="26">
        <f>H5*Y12</f>
        <v>2100</v>
      </c>
      <c r="I82" s="28">
        <f>SUM(F82:H82)</f>
        <v>5850</v>
      </c>
      <c r="J82" s="26">
        <f>J5*Z12</f>
        <v>2380</v>
      </c>
      <c r="K82" s="26">
        <f>K5*Z12</f>
        <v>2222.5</v>
      </c>
      <c r="L82" s="26">
        <f>L5*Z12</f>
        <v>2170</v>
      </c>
      <c r="M82" s="28">
        <f>SUM(J82:L82)</f>
        <v>6772.5</v>
      </c>
      <c r="N82" s="26">
        <f>N5*Z12</f>
        <v>2051</v>
      </c>
      <c r="O82" s="26">
        <f>O5*Z12</f>
        <v>1896.9999999999998</v>
      </c>
      <c r="P82" s="26">
        <f>P5*Z12</f>
        <v>1750</v>
      </c>
      <c r="Q82" s="28">
        <f>SUM(N82:P82)</f>
        <v>5698</v>
      </c>
      <c r="R82" s="29">
        <f>SUM(E82+I82+M82+Q82)</f>
        <v>23570.5</v>
      </c>
    </row>
    <row r="83" spans="1:18">
      <c r="A83" t="s">
        <v>31</v>
      </c>
      <c r="B83">
        <f>B6*Y13</f>
        <v>1800</v>
      </c>
      <c r="C83">
        <f>C6*Y13</f>
        <v>1650</v>
      </c>
      <c r="D83">
        <f>D6*Y13</f>
        <v>1800</v>
      </c>
      <c r="E83" s="25">
        <f>SUM(B83:D83)</f>
        <v>5250</v>
      </c>
      <c r="F83" s="26">
        <f>F6*Y13</f>
        <v>1740</v>
      </c>
      <c r="G83" s="26">
        <f>G6*Y13</f>
        <v>1830</v>
      </c>
      <c r="H83" s="26">
        <f>H6*Y13</f>
        <v>2019</v>
      </c>
      <c r="I83" s="28">
        <f>SUM(F83:H83)</f>
        <v>5589</v>
      </c>
      <c r="J83" s="26">
        <f>J6*Z13</f>
        <v>2296</v>
      </c>
      <c r="K83" s="26">
        <f>K6*Z13</f>
        <v>2135</v>
      </c>
      <c r="L83" s="26">
        <f>L6*Z13</f>
        <v>2086</v>
      </c>
      <c r="M83" s="28">
        <f>SUM(J83:L83)</f>
        <v>6517</v>
      </c>
      <c r="N83" s="26">
        <f>N6*Z13</f>
        <v>2100</v>
      </c>
      <c r="O83" s="26">
        <f>O6*Z13</f>
        <v>2008.9999999999998</v>
      </c>
      <c r="P83" s="26">
        <f>P6*Z13</f>
        <v>1882.9999999999998</v>
      </c>
      <c r="Q83" s="28">
        <f>SUM(N83:P83)</f>
        <v>5992</v>
      </c>
      <c r="R83" s="29">
        <f>SUM(E83+I83+M83+Q83)</f>
        <v>23348</v>
      </c>
    </row>
    <row r="84" spans="1:18">
      <c r="A84" t="s">
        <v>32</v>
      </c>
      <c r="B84">
        <f>B7*Y14</f>
        <v>600</v>
      </c>
      <c r="C84">
        <f>C7*Y14</f>
        <v>600</v>
      </c>
      <c r="D84">
        <f>D7*Y14</f>
        <v>750</v>
      </c>
      <c r="E84" s="25">
        <f>SUM(B84:D84)</f>
        <v>1950</v>
      </c>
      <c r="F84" s="26">
        <f>F7*Y14</f>
        <v>1005</v>
      </c>
      <c r="G84" s="26">
        <f>G7*Y14</f>
        <v>1158</v>
      </c>
      <c r="H84" s="26">
        <f>H7*Y14</f>
        <v>1230</v>
      </c>
      <c r="I84" s="28">
        <f>SUM(F84:H84)</f>
        <v>3393</v>
      </c>
      <c r="J84" s="26">
        <f>J7*Z14</f>
        <v>1365</v>
      </c>
      <c r="K84" s="26">
        <f>K7*Z14</f>
        <v>1417.5</v>
      </c>
      <c r="L84" s="26">
        <f>L7*Z14</f>
        <v>1330</v>
      </c>
      <c r="M84" s="28">
        <f>SUM(J84:L84)</f>
        <v>4112.5</v>
      </c>
      <c r="N84" s="26">
        <f>N7*Z14</f>
        <v>1102.5</v>
      </c>
      <c r="O84" s="26">
        <f>O7*Z14</f>
        <v>1011.4999999999999</v>
      </c>
      <c r="P84" s="26">
        <f>P7*Z14</f>
        <v>742</v>
      </c>
      <c r="Q84" s="28">
        <f>SUM(N84:P84)</f>
        <v>2856</v>
      </c>
      <c r="R84" s="29">
        <f>SUM(E84+I84+M84+Q84)</f>
        <v>12311.5</v>
      </c>
    </row>
    <row r="85" spans="1:18">
      <c r="A85" t="s">
        <v>33</v>
      </c>
      <c r="B85">
        <f>B8*Y15</f>
        <v>192</v>
      </c>
      <c r="C85">
        <f>C8*Y15</f>
        <v>192</v>
      </c>
      <c r="D85">
        <f>D8*Y15</f>
        <v>234</v>
      </c>
      <c r="E85" s="25">
        <f>SUM(B85:D85)</f>
        <v>618</v>
      </c>
      <c r="F85" s="26">
        <f>F8*Y15</f>
        <v>318</v>
      </c>
      <c r="G85" s="28">
        <f>G8*Y15</f>
        <v>372</v>
      </c>
      <c r="H85" s="28">
        <f>H8*Y15</f>
        <v>396</v>
      </c>
      <c r="I85" s="28">
        <f>SUM(F85:H85)</f>
        <v>1086</v>
      </c>
      <c r="J85" s="28">
        <f>J8*Z15</f>
        <v>372</v>
      </c>
      <c r="K85" s="28">
        <f>K8*Z15</f>
        <v>384</v>
      </c>
      <c r="L85" s="28">
        <f>L8*Z15</f>
        <v>360</v>
      </c>
      <c r="M85" s="28">
        <f>SUM(J85:L85)</f>
        <v>1116</v>
      </c>
      <c r="N85" s="28">
        <f>N8*Z15</f>
        <v>300</v>
      </c>
      <c r="O85" s="28">
        <f>O8*Z15</f>
        <v>276</v>
      </c>
      <c r="P85" s="28">
        <f>P8*Z15</f>
        <v>300</v>
      </c>
      <c r="Q85" s="28">
        <f>SUM(N85:P85)</f>
        <v>876</v>
      </c>
      <c r="R85" s="29">
        <f>SUM(E85+I85+M85+Q85)</f>
        <v>3696</v>
      </c>
    </row>
    <row r="86" spans="1:18">
      <c r="A86" s="44" t="s">
        <v>44</v>
      </c>
      <c r="B86" s="25">
        <f t="shared" ref="B86:R86" si="19">SUM(B82:B85)</f>
        <v>4392</v>
      </c>
      <c r="C86" s="25">
        <f t="shared" si="19"/>
        <v>4092</v>
      </c>
      <c r="D86" s="50">
        <f t="shared" si="19"/>
        <v>4584</v>
      </c>
      <c r="E86" s="50">
        <f t="shared" si="19"/>
        <v>13068</v>
      </c>
      <c r="F86" s="26">
        <f t="shared" si="19"/>
        <v>4863</v>
      </c>
      <c r="G86" s="26">
        <f t="shared" si="19"/>
        <v>5310</v>
      </c>
      <c r="H86" s="26">
        <f t="shared" si="19"/>
        <v>5745</v>
      </c>
      <c r="I86" s="28">
        <f t="shared" si="19"/>
        <v>15918</v>
      </c>
      <c r="J86" s="26">
        <f t="shared" si="19"/>
        <v>6413</v>
      </c>
      <c r="K86" s="26">
        <f t="shared" si="19"/>
        <v>6159</v>
      </c>
      <c r="L86" s="26">
        <f t="shared" si="19"/>
        <v>5946</v>
      </c>
      <c r="M86" s="28">
        <f t="shared" si="19"/>
        <v>18518</v>
      </c>
      <c r="N86" s="26">
        <f t="shared" si="19"/>
        <v>5553.5</v>
      </c>
      <c r="O86" s="26">
        <f t="shared" si="19"/>
        <v>5193.4999999999991</v>
      </c>
      <c r="P86" s="26">
        <f t="shared" si="19"/>
        <v>4675</v>
      </c>
      <c r="Q86" s="28">
        <f t="shared" si="19"/>
        <v>15422</v>
      </c>
      <c r="R86" s="29">
        <f t="shared" si="19"/>
        <v>62926</v>
      </c>
    </row>
    <row r="87" spans="1:18">
      <c r="A87" s="56" t="s">
        <v>24</v>
      </c>
      <c r="F87" s="26"/>
      <c r="G87" s="26"/>
      <c r="H87" s="26"/>
      <c r="I87" s="28"/>
      <c r="J87" s="26"/>
      <c r="K87" s="26"/>
      <c r="L87" s="26"/>
      <c r="M87" s="28"/>
      <c r="N87" s="26"/>
      <c r="O87" s="26"/>
      <c r="P87" s="26"/>
      <c r="Q87" s="28"/>
      <c r="R87" s="29"/>
    </row>
    <row r="88" spans="1:18">
      <c r="A88" t="s">
        <v>29</v>
      </c>
      <c r="B88">
        <f>B10*AA12</f>
        <v>1900</v>
      </c>
      <c r="C88">
        <f>C10*AA12</f>
        <v>2000</v>
      </c>
      <c r="D88">
        <f>D10*AA12</f>
        <v>2200</v>
      </c>
      <c r="E88" s="25">
        <f>SUM(B88:D88)</f>
        <v>6100</v>
      </c>
      <c r="F88" s="26">
        <f>F10*AA12</f>
        <v>2375</v>
      </c>
      <c r="G88" s="26">
        <f>G10*AA12</f>
        <v>2600</v>
      </c>
      <c r="H88" s="26">
        <f>H10*AA12</f>
        <v>2715</v>
      </c>
      <c r="I88" s="28">
        <f>SUM(F88:H88)</f>
        <v>7690</v>
      </c>
      <c r="J88" s="26">
        <f>J10*AB12</f>
        <v>3223.0000000000005</v>
      </c>
      <c r="K88" s="26">
        <f>K10*AB12</f>
        <v>3179.0000000000005</v>
      </c>
      <c r="L88" s="26">
        <f>L10*AB12</f>
        <v>2981.0000000000005</v>
      </c>
      <c r="M88" s="28">
        <f>SUM(J88:L88)</f>
        <v>9383.0000000000018</v>
      </c>
      <c r="N88" s="26">
        <f>N10*AB12</f>
        <v>2739</v>
      </c>
      <c r="O88" s="26">
        <f>O10*AB12</f>
        <v>2370.5</v>
      </c>
      <c r="P88" s="26">
        <f>P10*AB12</f>
        <v>2123</v>
      </c>
      <c r="Q88" s="28">
        <f>SUM(N88:P88)</f>
        <v>7232.5</v>
      </c>
      <c r="R88" s="29">
        <f>SUM(E88+I88+M88+Q88)</f>
        <v>30405.5</v>
      </c>
    </row>
    <row r="89" spans="1:18">
      <c r="A89" t="s">
        <v>31</v>
      </c>
      <c r="B89">
        <f>B11*AA13</f>
        <v>650</v>
      </c>
      <c r="C89">
        <f>C11*AA13</f>
        <v>700</v>
      </c>
      <c r="D89">
        <f>D11*AA13</f>
        <v>900</v>
      </c>
      <c r="E89" s="25">
        <f>SUM(B89:D89)</f>
        <v>2250</v>
      </c>
      <c r="F89" s="26">
        <f>F11*AA13</f>
        <v>985</v>
      </c>
      <c r="G89" s="26">
        <f>G11*AA13</f>
        <v>1175</v>
      </c>
      <c r="H89" s="26">
        <f>H11*AA13</f>
        <v>1280</v>
      </c>
      <c r="I89" s="28">
        <f>SUM(F89:H89)</f>
        <v>3440</v>
      </c>
      <c r="J89" s="26">
        <f>J11*AB13</f>
        <v>1589.5000000000002</v>
      </c>
      <c r="K89" s="26">
        <f>J11*AB13</f>
        <v>1589.5000000000002</v>
      </c>
      <c r="L89" s="26">
        <f>L11*AB13</f>
        <v>1452.0000000000002</v>
      </c>
      <c r="M89" s="28">
        <f>SUM(J89:L89)</f>
        <v>4631.0000000000009</v>
      </c>
      <c r="N89" s="26">
        <f>N11*AB13</f>
        <v>1215.5</v>
      </c>
      <c r="O89" s="26">
        <f>O11*AB13</f>
        <v>1045</v>
      </c>
      <c r="P89" s="26">
        <f>P11*AB13</f>
        <v>858.00000000000011</v>
      </c>
      <c r="Q89" s="28">
        <f>SUM(N89:P89)</f>
        <v>3118.5</v>
      </c>
      <c r="R89" s="29">
        <f>SUM(E89+I89+M89+Q89)</f>
        <v>13439.5</v>
      </c>
    </row>
    <row r="90" spans="1:18">
      <c r="A90" s="44" t="s">
        <v>44</v>
      </c>
      <c r="B90" s="25">
        <f t="shared" ref="B90:R90" si="20">SUM(B88:B89)</f>
        <v>2550</v>
      </c>
      <c r="C90" s="25">
        <f t="shared" si="20"/>
        <v>2700</v>
      </c>
      <c r="D90" s="25">
        <f t="shared" si="20"/>
        <v>3100</v>
      </c>
      <c r="E90" s="25">
        <f t="shared" si="20"/>
        <v>8350</v>
      </c>
      <c r="F90" s="26">
        <f t="shared" si="20"/>
        <v>3360</v>
      </c>
      <c r="G90" s="28">
        <f t="shared" si="20"/>
        <v>3775</v>
      </c>
      <c r="H90" s="28">
        <f t="shared" si="20"/>
        <v>3995</v>
      </c>
      <c r="I90" s="28">
        <f t="shared" si="20"/>
        <v>11130</v>
      </c>
      <c r="J90" s="28">
        <f t="shared" si="20"/>
        <v>4812.5000000000009</v>
      </c>
      <c r="K90" s="28">
        <f t="shared" si="20"/>
        <v>4768.5000000000009</v>
      </c>
      <c r="L90" s="28">
        <f t="shared" si="20"/>
        <v>4433.0000000000009</v>
      </c>
      <c r="M90" s="28">
        <f t="shared" si="20"/>
        <v>14014.000000000004</v>
      </c>
      <c r="N90" s="28">
        <f t="shared" si="20"/>
        <v>3954.5</v>
      </c>
      <c r="O90" s="28">
        <f t="shared" si="20"/>
        <v>3415.5</v>
      </c>
      <c r="P90" s="28">
        <f t="shared" si="20"/>
        <v>2981</v>
      </c>
      <c r="Q90" s="28">
        <f t="shared" si="20"/>
        <v>10351</v>
      </c>
      <c r="R90" s="29">
        <f t="shared" si="20"/>
        <v>43845</v>
      </c>
    </row>
    <row r="91" spans="1:18">
      <c r="A91" s="80" t="s">
        <v>20</v>
      </c>
      <c r="B91" s="25">
        <f t="shared" ref="B91:R91" si="21">B86+B90</f>
        <v>6942</v>
      </c>
      <c r="C91" s="25">
        <f t="shared" si="21"/>
        <v>6792</v>
      </c>
      <c r="D91" s="50">
        <f t="shared" si="21"/>
        <v>7684</v>
      </c>
      <c r="E91" s="50">
        <f t="shared" si="21"/>
        <v>21418</v>
      </c>
      <c r="F91" s="50">
        <f t="shared" si="21"/>
        <v>8223</v>
      </c>
      <c r="G91" s="50">
        <f t="shared" si="21"/>
        <v>9085</v>
      </c>
      <c r="H91" s="50">
        <f t="shared" si="21"/>
        <v>9740</v>
      </c>
      <c r="I91" s="50">
        <f t="shared" si="21"/>
        <v>27048</v>
      </c>
      <c r="J91" s="50">
        <f t="shared" si="21"/>
        <v>11225.5</v>
      </c>
      <c r="K91" s="50">
        <f t="shared" si="21"/>
        <v>10927.5</v>
      </c>
      <c r="L91" s="50">
        <f t="shared" si="21"/>
        <v>10379</v>
      </c>
      <c r="M91" s="50">
        <f t="shared" si="21"/>
        <v>32532.000000000004</v>
      </c>
      <c r="N91" s="50">
        <f t="shared" si="21"/>
        <v>9508</v>
      </c>
      <c r="O91" s="50">
        <f t="shared" si="21"/>
        <v>8609</v>
      </c>
      <c r="P91" s="50">
        <f t="shared" si="21"/>
        <v>7656</v>
      </c>
      <c r="Q91" s="50">
        <f t="shared" si="21"/>
        <v>25773</v>
      </c>
      <c r="R91" s="50">
        <f t="shared" si="21"/>
        <v>106771</v>
      </c>
    </row>
    <row r="92" spans="1:18">
      <c r="I92" s="25"/>
      <c r="M92" s="25"/>
      <c r="Q92" s="25"/>
      <c r="R92" s="25"/>
    </row>
    <row r="93" spans="1:18">
      <c r="A93" s="206" t="s">
        <v>49</v>
      </c>
      <c r="B93" s="206"/>
      <c r="C93" s="1"/>
      <c r="D93" s="1"/>
      <c r="E93" s="1"/>
      <c r="F93" s="73"/>
      <c r="G93" s="1"/>
      <c r="H93" s="1"/>
      <c r="I93" s="1"/>
      <c r="J93" s="1"/>
      <c r="K93" s="1"/>
      <c r="L93" s="1"/>
      <c r="M93" s="1"/>
      <c r="N93" s="74"/>
      <c r="O93" s="74"/>
      <c r="P93" s="74"/>
      <c r="Q93" s="1"/>
      <c r="R93" s="1"/>
    </row>
    <row r="94" spans="1:18" ht="15" thickBo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15" thickTop="1">
      <c r="A95" s="46" t="s">
        <v>3</v>
      </c>
      <c r="B95" s="45" t="s">
        <v>4</v>
      </c>
      <c r="C95" s="45" t="s">
        <v>5</v>
      </c>
      <c r="D95" s="45" t="s">
        <v>6</v>
      </c>
      <c r="E95" s="46" t="s">
        <v>7</v>
      </c>
      <c r="F95" s="61" t="s">
        <v>8</v>
      </c>
      <c r="G95" s="61" t="s">
        <v>9</v>
      </c>
      <c r="H95" s="61" t="s">
        <v>10</v>
      </c>
      <c r="I95" s="59" t="s">
        <v>11</v>
      </c>
      <c r="J95" s="61" t="s">
        <v>12</v>
      </c>
      <c r="K95" s="61" t="s">
        <v>13</v>
      </c>
      <c r="L95" s="61" t="s">
        <v>14</v>
      </c>
      <c r="M95" s="59" t="s">
        <v>15</v>
      </c>
      <c r="N95" s="61" t="s">
        <v>16</v>
      </c>
      <c r="O95" s="61" t="s">
        <v>17</v>
      </c>
      <c r="P95" s="61" t="s">
        <v>18</v>
      </c>
      <c r="Q95" s="59" t="s">
        <v>19</v>
      </c>
      <c r="R95" s="60" t="s">
        <v>20</v>
      </c>
    </row>
    <row r="96" spans="1:18">
      <c r="A96" s="21" t="s">
        <v>50</v>
      </c>
      <c r="B96">
        <f>B27+B33</f>
        <v>392000</v>
      </c>
      <c r="C96">
        <f t="shared" ref="C96:R96" si="22">C27+C33</f>
        <v>380000</v>
      </c>
      <c r="D96">
        <f t="shared" si="22"/>
        <v>416000</v>
      </c>
      <c r="E96">
        <f t="shared" si="22"/>
        <v>1188000</v>
      </c>
      <c r="F96">
        <f t="shared" si="22"/>
        <v>430000</v>
      </c>
      <c r="G96">
        <f t="shared" si="22"/>
        <v>468000</v>
      </c>
      <c r="H96">
        <f t="shared" si="22"/>
        <v>497200</v>
      </c>
      <c r="I96">
        <f t="shared" si="22"/>
        <v>1395200</v>
      </c>
      <c r="J96">
        <f t="shared" si="22"/>
        <v>506400</v>
      </c>
      <c r="K96">
        <f t="shared" si="22"/>
        <v>485200</v>
      </c>
      <c r="L96">
        <f t="shared" si="22"/>
        <v>464800</v>
      </c>
      <c r="M96">
        <f t="shared" si="22"/>
        <v>1456400</v>
      </c>
      <c r="N96">
        <f t="shared" si="22"/>
        <v>433600</v>
      </c>
      <c r="O96">
        <f t="shared" si="22"/>
        <v>389200</v>
      </c>
      <c r="P96">
        <f t="shared" si="22"/>
        <v>354400</v>
      </c>
      <c r="Q96">
        <f t="shared" si="22"/>
        <v>1177200</v>
      </c>
      <c r="R96">
        <f t="shared" si="22"/>
        <v>5216800</v>
      </c>
    </row>
    <row r="97" spans="1:18">
      <c r="A97" s="75" t="s">
        <v>51</v>
      </c>
      <c r="B97" s="26">
        <f>B41+B47</f>
        <v>9360</v>
      </c>
      <c r="C97" s="26">
        <f>C41+C47</f>
        <v>9200</v>
      </c>
      <c r="D97" s="26">
        <f>D41+D47</f>
        <v>10080</v>
      </c>
      <c r="E97" s="28">
        <f>SUM(B97:D97)</f>
        <v>28640</v>
      </c>
      <c r="F97" s="26">
        <f>F41+F47</f>
        <v>10500</v>
      </c>
      <c r="G97" s="26">
        <f>G41+G47</f>
        <v>11440</v>
      </c>
      <c r="H97" s="26">
        <f>H41+H47</f>
        <v>12116</v>
      </c>
      <c r="I97" s="28">
        <f>F97+G97+H97</f>
        <v>34056</v>
      </c>
      <c r="J97" s="26">
        <f>J41+J47</f>
        <v>12472</v>
      </c>
      <c r="K97" s="26">
        <f>K41+K47</f>
        <v>12016</v>
      </c>
      <c r="L97" s="26">
        <f>L41+L47</f>
        <v>11464</v>
      </c>
      <c r="M97" s="28">
        <f>J97+K97+L97</f>
        <v>35952</v>
      </c>
      <c r="N97" s="26">
        <f>N41+N47</f>
        <v>10664</v>
      </c>
      <c r="O97" s="26">
        <f>O41+O47</f>
        <v>9508</v>
      </c>
      <c r="P97" s="26">
        <f>P41+P47</f>
        <v>8632</v>
      </c>
      <c r="Q97" s="28">
        <f>SUM(N97:P97)</f>
        <v>28804</v>
      </c>
      <c r="R97" s="29">
        <f>E97+I97+M97+Q97</f>
        <v>127452</v>
      </c>
    </row>
    <row r="98" spans="1:18">
      <c r="A98" s="5" t="s">
        <v>52</v>
      </c>
      <c r="B98" s="28">
        <f>'BUDGET PRODUZIONE'!B442-B97</f>
        <v>382640</v>
      </c>
      <c r="C98" s="28">
        <f>'BUDGET PRODUZIONE'!C442-C97</f>
        <v>370800</v>
      </c>
      <c r="D98" s="28">
        <f>'BUDGET PRODUZIONE'!D442-D97</f>
        <v>405920</v>
      </c>
      <c r="E98" s="28">
        <f>SUM(B98:D98)</f>
        <v>1159360</v>
      </c>
      <c r="F98" s="28">
        <f>'BUDGET PRODUZIONE'!F442-F97</f>
        <v>419500</v>
      </c>
      <c r="G98" s="28">
        <f>'BUDGET PRODUZIONE'!G442-G97</f>
        <v>456560</v>
      </c>
      <c r="H98" s="28">
        <f>'BUDGET PRODUZIONE'!H442-H97</f>
        <v>485084</v>
      </c>
      <c r="I98" s="28">
        <f>'BUDGET PRODUZIONE'!I442-I97</f>
        <v>1361144</v>
      </c>
      <c r="J98" s="28">
        <f>'BUDGET PRODUZIONE'!J442-J97</f>
        <v>493928</v>
      </c>
      <c r="K98" s="28">
        <f>'BUDGET PRODUZIONE'!K442-K97</f>
        <v>473184</v>
      </c>
      <c r="L98" s="28">
        <f>'BUDGET PRODUZIONE'!L442+L97</f>
        <v>476264</v>
      </c>
      <c r="M98" s="28">
        <f>'BUDGET PRODUZIONE'!M442-M97</f>
        <v>1420448</v>
      </c>
      <c r="N98" s="28">
        <f>'BUDGET PRODUZIONE'!N442-N97</f>
        <v>422936</v>
      </c>
      <c r="O98" s="28">
        <f>'BUDGET PRODUZIONE'!O442+O97</f>
        <v>398708</v>
      </c>
      <c r="P98" s="28">
        <f>'BUDGET PRODUZIONE'!P442+P97</f>
        <v>363032</v>
      </c>
      <c r="Q98" s="28">
        <f>'BUDGET PRODUZIONE'!Q442-Q97</f>
        <v>1148396</v>
      </c>
      <c r="R98" s="29">
        <f>E98+I98+M98+Q98</f>
        <v>5089348</v>
      </c>
    </row>
    <row r="99" spans="1:18">
      <c r="A99" s="75" t="s">
        <v>53</v>
      </c>
      <c r="B99" s="26">
        <f>B82+B88</f>
        <v>3700</v>
      </c>
      <c r="C99" s="26">
        <f>C82+C88</f>
        <v>3650</v>
      </c>
      <c r="D99" s="26">
        <f>D82+D88</f>
        <v>4000</v>
      </c>
      <c r="E99" s="28">
        <f>SUM(B99:D99)</f>
        <v>11350</v>
      </c>
      <c r="F99" s="26">
        <f>F82+F88</f>
        <v>4175</v>
      </c>
      <c r="G99" s="26">
        <f>G82+G88</f>
        <v>4550</v>
      </c>
      <c r="H99" s="26">
        <f>H82+H88</f>
        <v>4815</v>
      </c>
      <c r="I99" s="28">
        <f>SUM(F99:H99)</f>
        <v>13540</v>
      </c>
      <c r="J99" s="26">
        <f>J82+J88</f>
        <v>5603</v>
      </c>
      <c r="K99" s="26">
        <f>K82+K88</f>
        <v>5401.5</v>
      </c>
      <c r="L99" s="26">
        <f>L82+L88</f>
        <v>5151</v>
      </c>
      <c r="M99" s="28">
        <f>J99+K99+L99</f>
        <v>16155.5</v>
      </c>
      <c r="N99" s="26">
        <f>N82+N88</f>
        <v>4790</v>
      </c>
      <c r="O99" s="26">
        <f>O82+O88</f>
        <v>4267.5</v>
      </c>
      <c r="P99" s="26">
        <f>P82+P88</f>
        <v>3873</v>
      </c>
      <c r="Q99" s="28">
        <f>SUM(N99:P99)</f>
        <v>12930.5</v>
      </c>
      <c r="R99" s="29">
        <f>SUM(Q99+E99+I99+M99)</f>
        <v>53976</v>
      </c>
    </row>
    <row r="100" spans="1:18">
      <c r="A100" s="75" t="s">
        <v>54</v>
      </c>
      <c r="B100" s="26">
        <f>B68+B74</f>
        <v>9360</v>
      </c>
      <c r="C100" s="26">
        <f>C68+C74</f>
        <v>10400</v>
      </c>
      <c r="D100" s="26">
        <f>D68+D74</f>
        <v>10080</v>
      </c>
      <c r="E100" s="28">
        <f>SUM(B100:D100)</f>
        <v>29840</v>
      </c>
      <c r="F100" s="26">
        <f>SUM(F68+F74)</f>
        <v>10500</v>
      </c>
      <c r="G100" s="26">
        <f>G74+G68</f>
        <v>11440</v>
      </c>
      <c r="H100" s="26">
        <f>H74+H68</f>
        <v>12116</v>
      </c>
      <c r="I100" s="28">
        <f>SUM(F100:H100)</f>
        <v>34056</v>
      </c>
      <c r="J100" s="26">
        <f>J68+J74</f>
        <v>12472</v>
      </c>
      <c r="K100" s="26">
        <f>K68+K74</f>
        <v>12016</v>
      </c>
      <c r="L100" s="26">
        <f>L68+L74</f>
        <v>11464</v>
      </c>
      <c r="M100" s="28">
        <f>SUM(J100:L100)</f>
        <v>35952</v>
      </c>
      <c r="N100" s="26">
        <f>N68+N74</f>
        <v>10664</v>
      </c>
      <c r="O100" s="26">
        <f>SUM(O68+O74)</f>
        <v>9508</v>
      </c>
      <c r="P100" s="26">
        <f>P68+P74</f>
        <v>8632</v>
      </c>
      <c r="Q100" s="28">
        <f>SUM(N100:P100)</f>
        <v>28804</v>
      </c>
      <c r="R100" s="29">
        <f>Q100+M100+I100+E100</f>
        <v>128652</v>
      </c>
    </row>
    <row r="101" spans="1:18" ht="15" thickBot="1">
      <c r="A101" s="76" t="s">
        <v>55</v>
      </c>
      <c r="B101" s="77">
        <f>B98-(B99+B100)</f>
        <v>369580</v>
      </c>
      <c r="C101" s="77">
        <f>C98-(C99+C100)</f>
        <v>356750</v>
      </c>
      <c r="D101" s="77">
        <f t="shared" ref="D101:L101" si="23">D98-D99-D100</f>
        <v>391840</v>
      </c>
      <c r="E101" s="77">
        <f t="shared" si="23"/>
        <v>1118170</v>
      </c>
      <c r="F101" s="77">
        <f t="shared" si="23"/>
        <v>404825</v>
      </c>
      <c r="G101" s="77">
        <f t="shared" si="23"/>
        <v>440570</v>
      </c>
      <c r="H101" s="77">
        <f t="shared" si="23"/>
        <v>468153</v>
      </c>
      <c r="I101" s="77">
        <f t="shared" si="23"/>
        <v>1313548</v>
      </c>
      <c r="J101" s="77">
        <f t="shared" si="23"/>
        <v>475853</v>
      </c>
      <c r="K101" s="77">
        <f t="shared" si="23"/>
        <v>455766.5</v>
      </c>
      <c r="L101" s="77">
        <f t="shared" si="23"/>
        <v>459649</v>
      </c>
      <c r="M101" s="77">
        <f>J101+K101+L101</f>
        <v>1391268.5</v>
      </c>
      <c r="N101" s="77">
        <f>N98-(N99+N100)</f>
        <v>407482</v>
      </c>
      <c r="O101" s="77">
        <f>O98-(O99+O100)</f>
        <v>384932.5</v>
      </c>
      <c r="P101" s="77">
        <f>P98-(P99+P100)</f>
        <v>350527</v>
      </c>
      <c r="Q101" s="77">
        <f>Q98-(Q99+Q100)</f>
        <v>1106661.5</v>
      </c>
      <c r="R101" s="77">
        <f>E101+I101+M101+Q101</f>
        <v>4929648</v>
      </c>
    </row>
    <row r="102" spans="1:18" ht="15" thickTop="1">
      <c r="E102" s="25"/>
      <c r="I102" s="25"/>
      <c r="M102" s="25"/>
      <c r="Q102" s="25"/>
      <c r="R102" s="25"/>
    </row>
    <row r="103" spans="1:18">
      <c r="E103" s="25"/>
      <c r="I103" s="25"/>
      <c r="M103" s="25"/>
      <c r="Q103" s="25"/>
      <c r="R103" s="25"/>
    </row>
    <row r="104" spans="1:18">
      <c r="A104" s="206" t="s">
        <v>56</v>
      </c>
      <c r="B104" s="206"/>
      <c r="C104" s="1"/>
      <c r="D104" s="1"/>
      <c r="E104" s="1"/>
      <c r="F104" s="73"/>
      <c r="G104" s="1"/>
      <c r="H104" s="1"/>
      <c r="I104" s="1"/>
      <c r="J104" s="1"/>
      <c r="K104" s="1"/>
      <c r="L104" s="1"/>
      <c r="M104" s="1"/>
      <c r="N104" s="74"/>
      <c r="O104" s="74"/>
      <c r="P104" s="74"/>
      <c r="Q104" s="1"/>
      <c r="R104" s="1"/>
    </row>
    <row r="105" spans="1:18" ht="15" thickBot="1">
      <c r="A105" s="3"/>
      <c r="B105" s="3"/>
      <c r="C105" s="3"/>
      <c r="D105" s="3"/>
      <c r="E105" s="78"/>
      <c r="F105" s="3"/>
      <c r="G105" s="3"/>
      <c r="H105" s="3"/>
      <c r="I105" s="78"/>
      <c r="J105" s="3"/>
      <c r="K105" s="3"/>
      <c r="L105" s="3"/>
      <c r="M105" s="78"/>
      <c r="N105" s="3"/>
      <c r="O105" s="3"/>
      <c r="P105" s="3"/>
      <c r="Q105" s="78"/>
      <c r="R105" s="78"/>
    </row>
    <row r="106" spans="1:18" ht="15" thickTop="1">
      <c r="A106" s="46" t="s">
        <v>3</v>
      </c>
      <c r="B106" s="45" t="s">
        <v>4</v>
      </c>
      <c r="C106" s="45" t="s">
        <v>5</v>
      </c>
      <c r="D106" s="45" t="s">
        <v>6</v>
      </c>
      <c r="E106" s="46" t="s">
        <v>7</v>
      </c>
      <c r="F106" s="61" t="s">
        <v>8</v>
      </c>
      <c r="G106" s="61" t="s">
        <v>9</v>
      </c>
      <c r="H106" s="61" t="s">
        <v>10</v>
      </c>
      <c r="I106" s="59" t="s">
        <v>11</v>
      </c>
      <c r="J106" s="61" t="s">
        <v>12</v>
      </c>
      <c r="K106" s="61" t="s">
        <v>13</v>
      </c>
      <c r="L106" s="61" t="s">
        <v>14</v>
      </c>
      <c r="M106" s="59" t="s">
        <v>15</v>
      </c>
      <c r="N106" s="61" t="s">
        <v>16</v>
      </c>
      <c r="O106" s="61" t="s">
        <v>17</v>
      </c>
      <c r="P106" s="61" t="s">
        <v>18</v>
      </c>
      <c r="Q106" s="59" t="s">
        <v>19</v>
      </c>
      <c r="R106" s="60" t="s">
        <v>20</v>
      </c>
    </row>
    <row r="107" spans="1:18">
      <c r="A107" s="21" t="s">
        <v>50</v>
      </c>
      <c r="B107" s="26">
        <f>B27+B33</f>
        <v>392000</v>
      </c>
      <c r="C107" s="26">
        <f>C27+C33</f>
        <v>380000</v>
      </c>
      <c r="D107" s="26">
        <f>D27+D33</f>
        <v>416000</v>
      </c>
      <c r="E107" s="28">
        <f t="shared" ref="E107:E112" si="24">B107+C107+D107</f>
        <v>1188000</v>
      </c>
      <c r="F107" s="26">
        <f>F27+F33</f>
        <v>430000</v>
      </c>
      <c r="G107" s="26">
        <f>G27+G33</f>
        <v>468000</v>
      </c>
      <c r="H107" s="26">
        <f>H27+H33</f>
        <v>497200</v>
      </c>
      <c r="I107" s="28">
        <f t="shared" ref="I107:I112" si="25">F107+G107+H107</f>
        <v>1395200</v>
      </c>
      <c r="J107" s="26">
        <f>J27+J33</f>
        <v>506400</v>
      </c>
      <c r="K107" s="26">
        <f>K27+K33</f>
        <v>485200</v>
      </c>
      <c r="L107" s="26">
        <f>L27+L33</f>
        <v>464800</v>
      </c>
      <c r="M107" s="28">
        <f t="shared" ref="M107:M112" si="26">J107+K107+L107</f>
        <v>1456400</v>
      </c>
      <c r="N107" s="26">
        <f>N27+N33</f>
        <v>433600</v>
      </c>
      <c r="O107" s="26">
        <f>O27+O33</f>
        <v>389200</v>
      </c>
      <c r="P107" s="26">
        <f>P27+P33</f>
        <v>354400</v>
      </c>
      <c r="Q107" s="28">
        <f t="shared" ref="Q107:Q112" si="27">N107+O107+P107</f>
        <v>1177200</v>
      </c>
      <c r="R107" s="29">
        <f t="shared" ref="R107:R112" si="28">E107+I107+M107+Q107</f>
        <v>5216800</v>
      </c>
    </row>
    <row r="108" spans="1:18">
      <c r="A108" s="75" t="s">
        <v>51</v>
      </c>
      <c r="B108" s="26">
        <f>B41+B47</f>
        <v>9360</v>
      </c>
      <c r="C108" s="26">
        <f>C41+C47</f>
        <v>9200</v>
      </c>
      <c r="D108" s="26">
        <f>D47+D41</f>
        <v>10080</v>
      </c>
      <c r="E108" s="28">
        <f t="shared" si="24"/>
        <v>28640</v>
      </c>
      <c r="F108" s="26">
        <f>F41+F47</f>
        <v>10500</v>
      </c>
      <c r="G108" s="26">
        <f>G41+G47</f>
        <v>11440</v>
      </c>
      <c r="H108" s="26">
        <f>H41+H47</f>
        <v>12116</v>
      </c>
      <c r="I108" s="28">
        <f t="shared" si="25"/>
        <v>34056</v>
      </c>
      <c r="J108" s="26">
        <f>J41+J47</f>
        <v>12472</v>
      </c>
      <c r="K108" s="26">
        <f>K41+K47</f>
        <v>12016</v>
      </c>
      <c r="L108" s="26">
        <f>L41+L47</f>
        <v>11464</v>
      </c>
      <c r="M108" s="28">
        <f t="shared" si="26"/>
        <v>35952</v>
      </c>
      <c r="N108" s="26">
        <f>N41+N47</f>
        <v>10664</v>
      </c>
      <c r="O108" s="26">
        <f>O41+O47</f>
        <v>9508</v>
      </c>
      <c r="P108" s="26">
        <f>P41+P47</f>
        <v>8632</v>
      </c>
      <c r="Q108" s="28">
        <f t="shared" si="27"/>
        <v>28804</v>
      </c>
      <c r="R108" s="29">
        <f t="shared" si="28"/>
        <v>127452</v>
      </c>
    </row>
    <row r="109" spans="1:18">
      <c r="A109" s="5" t="s">
        <v>52</v>
      </c>
      <c r="B109" s="28">
        <f>B107-B108</f>
        <v>382640</v>
      </c>
      <c r="C109" s="28">
        <f>C107-C108</f>
        <v>370800</v>
      </c>
      <c r="D109" s="28">
        <f>D107-D108</f>
        <v>405920</v>
      </c>
      <c r="E109" s="28">
        <f t="shared" si="24"/>
        <v>1159360</v>
      </c>
      <c r="F109" s="28">
        <f>F107+F108</f>
        <v>440500</v>
      </c>
      <c r="G109" s="28">
        <f>G107+G108</f>
        <v>479440</v>
      </c>
      <c r="H109" s="28">
        <f>H107+H108</f>
        <v>509316</v>
      </c>
      <c r="I109" s="28">
        <f t="shared" si="25"/>
        <v>1429256</v>
      </c>
      <c r="J109" s="28">
        <f>J107+J108</f>
        <v>518872</v>
      </c>
      <c r="K109" s="28">
        <f>K107+K108</f>
        <v>497216</v>
      </c>
      <c r="L109" s="28">
        <f>L107+L108</f>
        <v>476264</v>
      </c>
      <c r="M109" s="28">
        <f t="shared" si="26"/>
        <v>1492352</v>
      </c>
      <c r="N109" s="28">
        <f>N107+N108</f>
        <v>444264</v>
      </c>
      <c r="O109" s="28">
        <f>O107+O108</f>
        <v>398708</v>
      </c>
      <c r="P109" s="28">
        <f>P107+P108</f>
        <v>363032</v>
      </c>
      <c r="Q109" s="28">
        <f t="shared" si="27"/>
        <v>1206004</v>
      </c>
      <c r="R109" s="29">
        <f t="shared" si="28"/>
        <v>5286972</v>
      </c>
    </row>
    <row r="110" spans="1:18">
      <c r="A110" s="75" t="s">
        <v>53</v>
      </c>
      <c r="B110" s="26">
        <f>B82+B88</f>
        <v>3700</v>
      </c>
      <c r="C110" s="26">
        <f>C82+C88</f>
        <v>3650</v>
      </c>
      <c r="D110" s="26">
        <f>D82+D88</f>
        <v>4000</v>
      </c>
      <c r="E110" s="28">
        <f t="shared" si="24"/>
        <v>11350</v>
      </c>
      <c r="F110" s="26">
        <f>F82+F88</f>
        <v>4175</v>
      </c>
      <c r="G110" s="26">
        <f>G82+G88</f>
        <v>4550</v>
      </c>
      <c r="H110" s="26">
        <f>H82+H88</f>
        <v>4815</v>
      </c>
      <c r="I110" s="28">
        <f t="shared" si="25"/>
        <v>13540</v>
      </c>
      <c r="J110" s="26">
        <f>J82+J88</f>
        <v>5603</v>
      </c>
      <c r="K110" s="26">
        <f>K82+K88</f>
        <v>5401.5</v>
      </c>
      <c r="L110" s="26">
        <f>L82+L88</f>
        <v>5151</v>
      </c>
      <c r="M110" s="28">
        <f t="shared" si="26"/>
        <v>16155.5</v>
      </c>
      <c r="N110" s="26">
        <f>N82+N88</f>
        <v>4790</v>
      </c>
      <c r="O110" s="26">
        <f>O82+O88</f>
        <v>4267.5</v>
      </c>
      <c r="P110" s="26">
        <f>P82+P88</f>
        <v>3873</v>
      </c>
      <c r="Q110" s="28">
        <f t="shared" si="27"/>
        <v>12930.5</v>
      </c>
      <c r="R110" s="29">
        <f t="shared" si="28"/>
        <v>53976</v>
      </c>
    </row>
    <row r="111" spans="1:18">
      <c r="A111" s="75" t="s">
        <v>54</v>
      </c>
      <c r="B111" s="26">
        <f>B68+B74</f>
        <v>9360</v>
      </c>
      <c r="C111" s="26">
        <f>C68+C74</f>
        <v>10400</v>
      </c>
      <c r="D111" s="26">
        <f>D68+D74</f>
        <v>10080</v>
      </c>
      <c r="E111" s="28">
        <f t="shared" si="24"/>
        <v>29840</v>
      </c>
      <c r="F111" s="26">
        <f>F68+F74</f>
        <v>10500</v>
      </c>
      <c r="G111" s="26">
        <f>G68+G74</f>
        <v>11440</v>
      </c>
      <c r="H111" s="26">
        <f>H68+H74</f>
        <v>12116</v>
      </c>
      <c r="I111" s="28">
        <f t="shared" si="25"/>
        <v>34056</v>
      </c>
      <c r="J111" s="26">
        <f>J68+J74</f>
        <v>12472</v>
      </c>
      <c r="K111" s="26">
        <f>K68+K74</f>
        <v>12016</v>
      </c>
      <c r="L111" s="26">
        <f>L68+L74</f>
        <v>11464</v>
      </c>
      <c r="M111" s="28">
        <f t="shared" si="26"/>
        <v>35952</v>
      </c>
      <c r="N111" s="26">
        <f>N68+N74</f>
        <v>10664</v>
      </c>
      <c r="O111" s="26">
        <f>O68+O74</f>
        <v>9508</v>
      </c>
      <c r="P111" s="26">
        <f>P68+P74</f>
        <v>8632</v>
      </c>
      <c r="Q111" s="28">
        <f t="shared" si="27"/>
        <v>28804</v>
      </c>
      <c r="R111" s="29">
        <f t="shared" si="28"/>
        <v>128652</v>
      </c>
    </row>
    <row r="112" spans="1:18" ht="15" thickBot="1">
      <c r="A112" s="76" t="s">
        <v>55</v>
      </c>
      <c r="B112" s="77">
        <f>B109-(B110+B111)</f>
        <v>369580</v>
      </c>
      <c r="C112" s="77">
        <f>C109-(C110+C111)</f>
        <v>356750</v>
      </c>
      <c r="D112" s="77">
        <f>D109-(D110+D111)</f>
        <v>391840</v>
      </c>
      <c r="E112" s="77">
        <f t="shared" si="24"/>
        <v>1118170</v>
      </c>
      <c r="F112" s="77">
        <f>F109-(F110+F111)</f>
        <v>425825</v>
      </c>
      <c r="G112" s="77">
        <f>G109-(G110+G111)</f>
        <v>463450</v>
      </c>
      <c r="H112" s="77">
        <f>H109-(H111+H110)</f>
        <v>492385</v>
      </c>
      <c r="I112" s="77">
        <f t="shared" si="25"/>
        <v>1381660</v>
      </c>
      <c r="J112" s="77">
        <f>J109-(J110+J111)</f>
        <v>500797</v>
      </c>
      <c r="K112" s="77">
        <f>K109-(K110+K111)</f>
        <v>479798.5</v>
      </c>
      <c r="L112" s="77">
        <f>L109-(L110+L111)</f>
        <v>459649</v>
      </c>
      <c r="M112" s="77">
        <f t="shared" si="26"/>
        <v>1440244.5</v>
      </c>
      <c r="N112" s="77">
        <f>N109+(N110+N111)</f>
        <v>459718</v>
      </c>
      <c r="O112" s="77">
        <f>O109-(O110+O111)</f>
        <v>384932.5</v>
      </c>
      <c r="P112" s="77">
        <f>P109-(P110+P111)</f>
        <v>350527</v>
      </c>
      <c r="Q112" s="77">
        <f t="shared" si="27"/>
        <v>1195177.5</v>
      </c>
      <c r="R112" s="77">
        <f t="shared" si="28"/>
        <v>5135252</v>
      </c>
    </row>
    <row r="113" spans="1:18" ht="15" thickTop="1">
      <c r="E113" s="25"/>
      <c r="I113" s="25"/>
      <c r="M113" s="25"/>
      <c r="Q113" s="25"/>
      <c r="R113" s="25"/>
    </row>
    <row r="114" spans="1:18">
      <c r="E114" s="25"/>
      <c r="I114" s="25"/>
      <c r="M114" s="25"/>
      <c r="Q114" s="25"/>
      <c r="R114" s="25"/>
    </row>
    <row r="115" spans="1:18">
      <c r="A115" s="206" t="s">
        <v>57</v>
      </c>
      <c r="B115" s="206"/>
      <c r="C115" s="1"/>
      <c r="D115" s="1"/>
      <c r="E115" s="1"/>
      <c r="F115" s="73"/>
      <c r="G115" s="1"/>
      <c r="H115" s="1"/>
      <c r="I115" s="1"/>
      <c r="J115" s="1"/>
      <c r="K115" s="1"/>
      <c r="L115" s="1"/>
      <c r="M115" s="1"/>
      <c r="N115" s="74"/>
      <c r="O115" s="74"/>
      <c r="P115" s="74"/>
      <c r="Q115" s="1"/>
      <c r="R115" s="1"/>
    </row>
    <row r="116" spans="1:18" ht="15" thickBot="1">
      <c r="A116" s="3"/>
      <c r="B116" s="3"/>
      <c r="C116" s="3"/>
      <c r="D116" s="3"/>
      <c r="E116" s="78"/>
      <c r="F116" s="3"/>
      <c r="G116" s="3"/>
      <c r="H116" s="3"/>
      <c r="I116" s="78"/>
      <c r="J116" s="3"/>
      <c r="K116" s="3"/>
      <c r="L116" s="3"/>
      <c r="M116" s="78"/>
      <c r="N116" s="3"/>
      <c r="O116" s="3"/>
      <c r="P116" s="3"/>
      <c r="Q116" s="78"/>
      <c r="R116" s="78"/>
    </row>
    <row r="117" spans="1:18" ht="15" thickTop="1">
      <c r="A117" s="46" t="s">
        <v>3</v>
      </c>
      <c r="B117" s="45" t="s">
        <v>4</v>
      </c>
      <c r="C117" s="45" t="s">
        <v>5</v>
      </c>
      <c r="D117" s="45" t="s">
        <v>6</v>
      </c>
      <c r="E117" s="46" t="s">
        <v>7</v>
      </c>
      <c r="F117" s="61" t="s">
        <v>8</v>
      </c>
      <c r="G117" s="61" t="s">
        <v>9</v>
      </c>
      <c r="H117" s="61" t="s">
        <v>10</v>
      </c>
      <c r="I117" s="59" t="s">
        <v>11</v>
      </c>
      <c r="J117" s="61" t="s">
        <v>12</v>
      </c>
      <c r="K117" s="61" t="s">
        <v>13</v>
      </c>
      <c r="L117" s="61" t="s">
        <v>14</v>
      </c>
      <c r="M117" s="59" t="s">
        <v>15</v>
      </c>
      <c r="N117" s="61" t="s">
        <v>16</v>
      </c>
      <c r="O117" s="61" t="s">
        <v>17</v>
      </c>
      <c r="P117" s="61" t="s">
        <v>18</v>
      </c>
      <c r="Q117" s="59" t="s">
        <v>19</v>
      </c>
      <c r="R117" s="60" t="s">
        <v>20</v>
      </c>
    </row>
    <row r="118" spans="1:18">
      <c r="A118" s="21" t="s">
        <v>50</v>
      </c>
      <c r="B118" s="26">
        <f t="shared" ref="B118:R118" si="29">SUM(B29)</f>
        <v>60000</v>
      </c>
      <c r="C118" s="26">
        <f t="shared" si="29"/>
        <v>60000</v>
      </c>
      <c r="D118" s="26">
        <f t="shared" si="29"/>
        <v>75000</v>
      </c>
      <c r="E118" s="28">
        <f t="shared" si="29"/>
        <v>195000</v>
      </c>
      <c r="F118" s="26">
        <f t="shared" si="29"/>
        <v>100500</v>
      </c>
      <c r="G118" s="26">
        <f t="shared" si="29"/>
        <v>115800</v>
      </c>
      <c r="H118" s="26">
        <f t="shared" si="29"/>
        <v>123000</v>
      </c>
      <c r="I118" s="28">
        <f t="shared" si="29"/>
        <v>339300</v>
      </c>
      <c r="J118" s="26">
        <f t="shared" si="29"/>
        <v>117000</v>
      </c>
      <c r="K118" s="26">
        <f t="shared" si="29"/>
        <v>121500</v>
      </c>
      <c r="L118" s="26">
        <f t="shared" si="29"/>
        <v>114000</v>
      </c>
      <c r="M118" s="28">
        <f t="shared" si="29"/>
        <v>352500</v>
      </c>
      <c r="N118" s="26">
        <f t="shared" si="29"/>
        <v>94500</v>
      </c>
      <c r="O118" s="26">
        <f t="shared" si="29"/>
        <v>86700</v>
      </c>
      <c r="P118" s="26">
        <f t="shared" si="29"/>
        <v>63600</v>
      </c>
      <c r="Q118" s="28">
        <f t="shared" si="29"/>
        <v>244800</v>
      </c>
      <c r="R118" s="29">
        <f t="shared" si="29"/>
        <v>1131600</v>
      </c>
    </row>
    <row r="119" spans="1:18">
      <c r="A119" s="75" t="s">
        <v>51</v>
      </c>
      <c r="B119" s="26">
        <f t="shared" ref="B119:R119" si="30">SUM(B43)</f>
        <v>2400</v>
      </c>
      <c r="C119" s="26">
        <f t="shared" si="30"/>
        <v>2400</v>
      </c>
      <c r="D119" s="26">
        <f t="shared" si="30"/>
        <v>3000</v>
      </c>
      <c r="E119" s="28">
        <f t="shared" si="30"/>
        <v>7800</v>
      </c>
      <c r="F119" s="26">
        <f t="shared" si="30"/>
        <v>4020</v>
      </c>
      <c r="G119" s="26">
        <f t="shared" si="30"/>
        <v>4632</v>
      </c>
      <c r="H119" s="26">
        <f t="shared" si="30"/>
        <v>4920</v>
      </c>
      <c r="I119" s="28">
        <f t="shared" si="30"/>
        <v>13572</v>
      </c>
      <c r="J119" s="26">
        <f t="shared" si="30"/>
        <v>4680</v>
      </c>
      <c r="K119" s="26">
        <f t="shared" si="30"/>
        <v>4860</v>
      </c>
      <c r="L119" s="26">
        <f t="shared" si="30"/>
        <v>4560</v>
      </c>
      <c r="M119" s="28">
        <f t="shared" si="30"/>
        <v>14100</v>
      </c>
      <c r="N119" s="26">
        <f t="shared" si="30"/>
        <v>3780</v>
      </c>
      <c r="O119" s="26">
        <f t="shared" si="30"/>
        <v>3468</v>
      </c>
      <c r="P119" s="26">
        <f t="shared" si="30"/>
        <v>2544</v>
      </c>
      <c r="Q119" s="28">
        <f t="shared" si="30"/>
        <v>9792</v>
      </c>
      <c r="R119" s="29">
        <f t="shared" si="30"/>
        <v>45264</v>
      </c>
    </row>
    <row r="120" spans="1:18">
      <c r="A120" s="5" t="s">
        <v>52</v>
      </c>
      <c r="B120" s="28">
        <f t="shared" ref="B120:R120" si="31">SUM(B118-B119)</f>
        <v>57600</v>
      </c>
      <c r="C120" s="28">
        <f t="shared" si="31"/>
        <v>57600</v>
      </c>
      <c r="D120" s="28">
        <f t="shared" si="31"/>
        <v>72000</v>
      </c>
      <c r="E120" s="28">
        <f t="shared" si="31"/>
        <v>187200</v>
      </c>
      <c r="F120" s="28">
        <f t="shared" si="31"/>
        <v>96480</v>
      </c>
      <c r="G120" s="28">
        <f t="shared" si="31"/>
        <v>111168</v>
      </c>
      <c r="H120" s="28">
        <f t="shared" si="31"/>
        <v>118080</v>
      </c>
      <c r="I120" s="28">
        <f t="shared" si="31"/>
        <v>325728</v>
      </c>
      <c r="J120" s="28">
        <f t="shared" si="31"/>
        <v>112320</v>
      </c>
      <c r="K120" s="28">
        <f t="shared" si="31"/>
        <v>116640</v>
      </c>
      <c r="L120" s="28">
        <f t="shared" si="31"/>
        <v>109440</v>
      </c>
      <c r="M120" s="28">
        <f t="shared" si="31"/>
        <v>338400</v>
      </c>
      <c r="N120" s="28">
        <f t="shared" si="31"/>
        <v>90720</v>
      </c>
      <c r="O120" s="28">
        <f t="shared" si="31"/>
        <v>83232</v>
      </c>
      <c r="P120" s="28">
        <f t="shared" si="31"/>
        <v>61056</v>
      </c>
      <c r="Q120" s="28">
        <f t="shared" si="31"/>
        <v>235008</v>
      </c>
      <c r="R120" s="29">
        <f t="shared" si="31"/>
        <v>1086336</v>
      </c>
    </row>
    <row r="121" spans="1:18">
      <c r="A121" s="75" t="s">
        <v>53</v>
      </c>
      <c r="B121" s="26">
        <f t="shared" ref="B121:R121" si="32">SUM(B84)</f>
        <v>600</v>
      </c>
      <c r="C121" s="26">
        <f t="shared" si="32"/>
        <v>600</v>
      </c>
      <c r="D121" s="26">
        <f t="shared" si="32"/>
        <v>750</v>
      </c>
      <c r="E121" s="28">
        <f t="shared" si="32"/>
        <v>1950</v>
      </c>
      <c r="F121" s="26">
        <f t="shared" si="32"/>
        <v>1005</v>
      </c>
      <c r="G121" s="26">
        <f t="shared" si="32"/>
        <v>1158</v>
      </c>
      <c r="H121" s="26">
        <f t="shared" si="32"/>
        <v>1230</v>
      </c>
      <c r="I121" s="28">
        <f t="shared" si="32"/>
        <v>3393</v>
      </c>
      <c r="J121" s="26">
        <f t="shared" si="32"/>
        <v>1365</v>
      </c>
      <c r="K121" s="26">
        <f t="shared" si="32"/>
        <v>1417.5</v>
      </c>
      <c r="L121" s="26">
        <f t="shared" si="32"/>
        <v>1330</v>
      </c>
      <c r="M121" s="28">
        <f t="shared" si="32"/>
        <v>4112.5</v>
      </c>
      <c r="N121" s="26">
        <f t="shared" si="32"/>
        <v>1102.5</v>
      </c>
      <c r="O121" s="26">
        <f t="shared" si="32"/>
        <v>1011.4999999999999</v>
      </c>
      <c r="P121" s="26">
        <f t="shared" si="32"/>
        <v>742</v>
      </c>
      <c r="Q121" s="28">
        <f t="shared" si="32"/>
        <v>2856</v>
      </c>
      <c r="R121" s="29">
        <f t="shared" si="32"/>
        <v>12311.5</v>
      </c>
    </row>
    <row r="122" spans="1:18">
      <c r="A122" s="75" t="s">
        <v>54</v>
      </c>
      <c r="B122" s="26">
        <f t="shared" ref="B122:R122" si="33">SUM(B70)</f>
        <v>1200</v>
      </c>
      <c r="C122" s="26">
        <f t="shared" si="33"/>
        <v>1200</v>
      </c>
      <c r="D122" s="26">
        <f t="shared" si="33"/>
        <v>1500</v>
      </c>
      <c r="E122" s="28">
        <f t="shared" si="33"/>
        <v>3900</v>
      </c>
      <c r="F122" s="26">
        <f t="shared" si="33"/>
        <v>2010</v>
      </c>
      <c r="G122" s="26">
        <f t="shared" si="33"/>
        <v>2316</v>
      </c>
      <c r="H122" s="26">
        <f t="shared" si="33"/>
        <v>2460</v>
      </c>
      <c r="I122" s="28">
        <f t="shared" si="33"/>
        <v>6786</v>
      </c>
      <c r="J122" s="26">
        <f t="shared" si="33"/>
        <v>2340</v>
      </c>
      <c r="K122" s="26">
        <f t="shared" si="33"/>
        <v>2430</v>
      </c>
      <c r="L122" s="26">
        <f t="shared" si="33"/>
        <v>2280</v>
      </c>
      <c r="M122" s="28">
        <f t="shared" si="33"/>
        <v>7050</v>
      </c>
      <c r="N122" s="26">
        <f t="shared" si="33"/>
        <v>1890</v>
      </c>
      <c r="O122" s="26">
        <f t="shared" si="33"/>
        <v>1734</v>
      </c>
      <c r="P122" s="26">
        <f t="shared" si="33"/>
        <v>1272</v>
      </c>
      <c r="Q122" s="28">
        <f t="shared" si="33"/>
        <v>4896</v>
      </c>
      <c r="R122" s="29">
        <f t="shared" si="33"/>
        <v>22632</v>
      </c>
    </row>
    <row r="123" spans="1:18" ht="15" thickBot="1">
      <c r="A123" s="76" t="s">
        <v>55</v>
      </c>
      <c r="B123" s="77">
        <f>B120-B121-B122</f>
        <v>55800</v>
      </c>
      <c r="C123" s="77">
        <f t="shared" ref="C123:R123" si="34">SUM(C120-C121-C122)</f>
        <v>55800</v>
      </c>
      <c r="D123" s="77">
        <f t="shared" si="34"/>
        <v>69750</v>
      </c>
      <c r="E123" s="77">
        <f t="shared" si="34"/>
        <v>181350</v>
      </c>
      <c r="F123" s="77">
        <f t="shared" si="34"/>
        <v>93465</v>
      </c>
      <c r="G123" s="77">
        <f t="shared" si="34"/>
        <v>107694</v>
      </c>
      <c r="H123" s="77">
        <f t="shared" si="34"/>
        <v>114390</v>
      </c>
      <c r="I123" s="77">
        <f t="shared" si="34"/>
        <v>315549</v>
      </c>
      <c r="J123" s="77">
        <f t="shared" si="34"/>
        <v>108615</v>
      </c>
      <c r="K123" s="77">
        <f t="shared" si="34"/>
        <v>112792.5</v>
      </c>
      <c r="L123" s="77">
        <f t="shared" si="34"/>
        <v>105830</v>
      </c>
      <c r="M123" s="77">
        <f t="shared" si="34"/>
        <v>327237.5</v>
      </c>
      <c r="N123" s="77">
        <f t="shared" si="34"/>
        <v>87727.5</v>
      </c>
      <c r="O123" s="77">
        <f t="shared" si="34"/>
        <v>80486.5</v>
      </c>
      <c r="P123" s="77">
        <f t="shared" si="34"/>
        <v>59042</v>
      </c>
      <c r="Q123" s="77">
        <f t="shared" si="34"/>
        <v>227256</v>
      </c>
      <c r="R123" s="77">
        <f t="shared" si="34"/>
        <v>1051392.5</v>
      </c>
    </row>
    <row r="124" spans="1:18" ht="15" thickTop="1">
      <c r="E124" s="25"/>
      <c r="I124" s="25"/>
      <c r="M124" s="25"/>
      <c r="Q124" s="25"/>
      <c r="R124" s="25"/>
    </row>
    <row r="125" spans="1:18">
      <c r="E125" s="25"/>
      <c r="I125" s="25"/>
      <c r="M125" s="25"/>
      <c r="Q125" s="25"/>
      <c r="R125" s="25"/>
    </row>
    <row r="126" spans="1:18">
      <c r="A126" s="206" t="s">
        <v>58</v>
      </c>
      <c r="B126" s="206"/>
      <c r="C126" s="1"/>
      <c r="D126" s="1"/>
      <c r="E126" s="1"/>
      <c r="F126" s="73"/>
      <c r="G126" s="1"/>
      <c r="H126" s="1"/>
      <c r="I126" s="1"/>
      <c r="J126" s="1"/>
      <c r="K126" s="1"/>
      <c r="L126" s="1"/>
      <c r="M126" s="1"/>
      <c r="N126" s="74"/>
      <c r="O126" s="74"/>
      <c r="P126" s="74"/>
      <c r="Q126" s="1"/>
      <c r="R126" s="1"/>
    </row>
    <row r="127" spans="1:18" ht="15" thickBot="1">
      <c r="A127" s="3"/>
      <c r="B127" s="3"/>
      <c r="C127" s="3"/>
      <c r="D127" s="3"/>
      <c r="E127" s="78"/>
      <c r="F127" s="3"/>
      <c r="G127" s="3"/>
      <c r="H127" s="3"/>
      <c r="I127" s="78"/>
      <c r="J127" s="3"/>
      <c r="K127" s="3"/>
      <c r="L127" s="3"/>
      <c r="M127" s="78"/>
      <c r="N127" s="3"/>
      <c r="O127" s="3"/>
      <c r="P127" s="3"/>
      <c r="Q127" s="78"/>
      <c r="R127" s="78"/>
    </row>
    <row r="128" spans="1:18" ht="15" thickTop="1">
      <c r="A128" s="46" t="s">
        <v>3</v>
      </c>
      <c r="B128" s="45" t="s">
        <v>4</v>
      </c>
      <c r="C128" s="45" t="s">
        <v>5</v>
      </c>
      <c r="D128" s="45" t="s">
        <v>6</v>
      </c>
      <c r="E128" s="46" t="s">
        <v>7</v>
      </c>
      <c r="F128" s="61" t="s">
        <v>8</v>
      </c>
      <c r="G128" s="61" t="s">
        <v>9</v>
      </c>
      <c r="H128" s="61" t="s">
        <v>10</v>
      </c>
      <c r="I128" s="59" t="s">
        <v>11</v>
      </c>
      <c r="J128" s="61" t="s">
        <v>12</v>
      </c>
      <c r="K128" s="61" t="s">
        <v>13</v>
      </c>
      <c r="L128" s="61" t="s">
        <v>14</v>
      </c>
      <c r="M128" s="59" t="s">
        <v>15</v>
      </c>
      <c r="N128" s="61" t="s">
        <v>16</v>
      </c>
      <c r="O128" s="61" t="s">
        <v>17</v>
      </c>
      <c r="P128" s="61" t="s">
        <v>18</v>
      </c>
      <c r="Q128" s="59" t="s">
        <v>19</v>
      </c>
      <c r="R128" s="60" t="s">
        <v>20</v>
      </c>
    </row>
    <row r="129" spans="1:18">
      <c r="A129" s="21" t="s">
        <v>50</v>
      </c>
      <c r="B129" s="26">
        <f t="shared" ref="B129:R129" si="35">B30</f>
        <v>25600</v>
      </c>
      <c r="C129" s="26">
        <f t="shared" si="35"/>
        <v>25600</v>
      </c>
      <c r="D129" s="26">
        <f t="shared" si="35"/>
        <v>31200</v>
      </c>
      <c r="E129" s="28">
        <f t="shared" si="35"/>
        <v>82400</v>
      </c>
      <c r="F129" s="26">
        <f t="shared" si="35"/>
        <v>42400</v>
      </c>
      <c r="G129" s="26">
        <f t="shared" si="35"/>
        <v>49600</v>
      </c>
      <c r="H129" s="26">
        <f t="shared" si="35"/>
        <v>52800</v>
      </c>
      <c r="I129" s="28">
        <f t="shared" si="35"/>
        <v>144800</v>
      </c>
      <c r="J129" s="26">
        <f t="shared" si="35"/>
        <v>49600</v>
      </c>
      <c r="K129" s="26">
        <f t="shared" si="35"/>
        <v>51200</v>
      </c>
      <c r="L129" s="26">
        <f t="shared" si="35"/>
        <v>48000</v>
      </c>
      <c r="M129" s="28">
        <f t="shared" si="35"/>
        <v>148800</v>
      </c>
      <c r="N129" s="26">
        <f t="shared" si="35"/>
        <v>40000</v>
      </c>
      <c r="O129" s="26">
        <f t="shared" si="35"/>
        <v>36800</v>
      </c>
      <c r="P129" s="26">
        <f t="shared" si="35"/>
        <v>40000</v>
      </c>
      <c r="Q129" s="28">
        <f t="shared" si="35"/>
        <v>116800</v>
      </c>
      <c r="R129" s="29">
        <f t="shared" si="35"/>
        <v>492800</v>
      </c>
    </row>
    <row r="130" spans="1:18">
      <c r="A130" s="75" t="s">
        <v>51</v>
      </c>
      <c r="B130" s="26">
        <f>SUM(B44)</f>
        <v>768</v>
      </c>
      <c r="C130" s="26">
        <f>SUM(C44)</f>
        <v>768</v>
      </c>
      <c r="D130" s="26">
        <f>SUM(D44)</f>
        <v>936</v>
      </c>
      <c r="E130" s="28">
        <f>SUM(B130:D130)</f>
        <v>2472</v>
      </c>
      <c r="F130" s="26">
        <f>SUM(F44)</f>
        <v>1272</v>
      </c>
      <c r="G130" s="26">
        <f>SUM(G44)</f>
        <v>1488</v>
      </c>
      <c r="H130" s="26">
        <f>SUM(H44)</f>
        <v>1584</v>
      </c>
      <c r="I130" s="28">
        <f>SUM(F130:H130)</f>
        <v>4344</v>
      </c>
      <c r="J130" s="26">
        <f>SUM(J44)</f>
        <v>1488</v>
      </c>
      <c r="K130" s="26">
        <f>SUM(K44)</f>
        <v>1536</v>
      </c>
      <c r="L130" s="26">
        <f>SUM(L44)</f>
        <v>1440</v>
      </c>
      <c r="M130" s="28">
        <f>SUM(J130:L130)</f>
        <v>4464</v>
      </c>
      <c r="N130" s="26">
        <f>SUM(N44)</f>
        <v>1200</v>
      </c>
      <c r="O130" s="26">
        <f>SUM(O44)</f>
        <v>1104</v>
      </c>
      <c r="P130" s="26">
        <f>SUM(P44)</f>
        <v>1200</v>
      </c>
      <c r="Q130" s="28">
        <f>SUM(N130:P130)</f>
        <v>3504</v>
      </c>
      <c r="R130" s="29">
        <f>SUM(E130+I130+M130+Q130)</f>
        <v>14784</v>
      </c>
    </row>
    <row r="131" spans="1:18">
      <c r="A131" s="5" t="s">
        <v>52</v>
      </c>
      <c r="B131" s="28">
        <f t="shared" ref="B131:R131" si="36">SUM(B129-B130)</f>
        <v>24832</v>
      </c>
      <c r="C131" s="28">
        <f t="shared" si="36"/>
        <v>24832</v>
      </c>
      <c r="D131" s="28">
        <f t="shared" si="36"/>
        <v>30264</v>
      </c>
      <c r="E131" s="28">
        <f t="shared" si="36"/>
        <v>79928</v>
      </c>
      <c r="F131" s="28">
        <f t="shared" si="36"/>
        <v>41128</v>
      </c>
      <c r="G131" s="28">
        <f t="shared" si="36"/>
        <v>48112</v>
      </c>
      <c r="H131" s="28">
        <f t="shared" si="36"/>
        <v>51216</v>
      </c>
      <c r="I131" s="28">
        <f t="shared" si="36"/>
        <v>140456</v>
      </c>
      <c r="J131" s="28">
        <f t="shared" si="36"/>
        <v>48112</v>
      </c>
      <c r="K131" s="28">
        <f t="shared" si="36"/>
        <v>49664</v>
      </c>
      <c r="L131" s="28">
        <f t="shared" si="36"/>
        <v>46560</v>
      </c>
      <c r="M131" s="28">
        <f t="shared" si="36"/>
        <v>144336</v>
      </c>
      <c r="N131" s="28">
        <f t="shared" si="36"/>
        <v>38800</v>
      </c>
      <c r="O131" s="28">
        <f t="shared" si="36"/>
        <v>35696</v>
      </c>
      <c r="P131" s="28">
        <f t="shared" si="36"/>
        <v>38800</v>
      </c>
      <c r="Q131" s="28">
        <f t="shared" si="36"/>
        <v>113296</v>
      </c>
      <c r="R131" s="29">
        <f t="shared" si="36"/>
        <v>478016</v>
      </c>
    </row>
    <row r="132" spans="1:18">
      <c r="A132" s="75" t="s">
        <v>53</v>
      </c>
      <c r="B132" s="26">
        <f>SUM(B85)</f>
        <v>192</v>
      </c>
      <c r="C132" s="26">
        <f>SUM(C85)</f>
        <v>192</v>
      </c>
      <c r="D132" s="26">
        <f>SUM(D85)</f>
        <v>234</v>
      </c>
      <c r="E132" s="28">
        <f>SUM(B132:D132)</f>
        <v>618</v>
      </c>
      <c r="F132" s="26">
        <f>SUM(F85)</f>
        <v>318</v>
      </c>
      <c r="G132" s="26">
        <f>SUM(G85)</f>
        <v>372</v>
      </c>
      <c r="H132" s="26">
        <f>SUM(H85)</f>
        <v>396</v>
      </c>
      <c r="I132" s="28">
        <f>SUM(F132:H132)</f>
        <v>1086</v>
      </c>
      <c r="J132" s="26">
        <f>SUM(J85)</f>
        <v>372</v>
      </c>
      <c r="K132" s="26">
        <f>SUM(K85)</f>
        <v>384</v>
      </c>
      <c r="L132" s="26">
        <f>SUM(L85)</f>
        <v>360</v>
      </c>
      <c r="M132" s="28">
        <f>SUM(J132:L132)</f>
        <v>1116</v>
      </c>
      <c r="N132" s="26">
        <f>SUM(N85)</f>
        <v>300</v>
      </c>
      <c r="O132" s="26">
        <f>SUM(O85)</f>
        <v>276</v>
      </c>
      <c r="P132" s="26">
        <f>SUM(P85)</f>
        <v>300</v>
      </c>
      <c r="Q132" s="28">
        <f>SUM(N132:P132)</f>
        <v>876</v>
      </c>
      <c r="R132" s="29">
        <f>SUM(E132+I132+M132+Q132)</f>
        <v>3696</v>
      </c>
    </row>
    <row r="133" spans="1:18">
      <c r="A133" s="75" t="s">
        <v>54</v>
      </c>
      <c r="B133" s="26">
        <f>SUM(B71)</f>
        <v>512</v>
      </c>
      <c r="C133" s="26">
        <f>SUM(C71)</f>
        <v>512</v>
      </c>
      <c r="D133" s="26">
        <f>SUM(D71)</f>
        <v>624</v>
      </c>
      <c r="E133" s="28">
        <f>SUM(B133:D133)</f>
        <v>1648</v>
      </c>
      <c r="F133" s="26">
        <f>SUM(F71)</f>
        <v>848</v>
      </c>
      <c r="G133" s="26">
        <f>SUM(G71)</f>
        <v>992</v>
      </c>
      <c r="H133" s="26">
        <f>SUM(H71)</f>
        <v>1056</v>
      </c>
      <c r="I133" s="28">
        <f>SUM(F133:H133)</f>
        <v>2896</v>
      </c>
      <c r="J133" s="26">
        <f>SUM(J71)</f>
        <v>992</v>
      </c>
      <c r="K133" s="26">
        <f>SUM(K71)</f>
        <v>1024</v>
      </c>
      <c r="L133" s="26">
        <f>SUM(L71)</f>
        <v>960</v>
      </c>
      <c r="M133" s="28">
        <f>SUM(J133:L133)</f>
        <v>2976</v>
      </c>
      <c r="N133" s="26">
        <f>SUM(N71)</f>
        <v>800</v>
      </c>
      <c r="O133" s="26">
        <f>SUM(O71)</f>
        <v>736</v>
      </c>
      <c r="P133" s="26">
        <f>SUM(P71)</f>
        <v>800</v>
      </c>
      <c r="Q133" s="28">
        <f>SUM(N133:P133)</f>
        <v>2336</v>
      </c>
      <c r="R133" s="29">
        <f>SUM(E133+I133+M133+Q133)</f>
        <v>9856</v>
      </c>
    </row>
    <row r="134" spans="1:18" ht="15" thickBot="1">
      <c r="A134" s="76" t="s">
        <v>55</v>
      </c>
      <c r="B134" s="77">
        <f t="shared" ref="B134:R134" si="37">SUM(B131-B132-B133)</f>
        <v>24128</v>
      </c>
      <c r="C134" s="77">
        <f t="shared" si="37"/>
        <v>24128</v>
      </c>
      <c r="D134" s="77">
        <f t="shared" si="37"/>
        <v>29406</v>
      </c>
      <c r="E134" s="77">
        <f t="shared" si="37"/>
        <v>77662</v>
      </c>
      <c r="F134" s="77">
        <f t="shared" si="37"/>
        <v>39962</v>
      </c>
      <c r="G134" s="77">
        <f t="shared" si="37"/>
        <v>46748</v>
      </c>
      <c r="H134" s="77">
        <f t="shared" si="37"/>
        <v>49764</v>
      </c>
      <c r="I134" s="77">
        <f t="shared" si="37"/>
        <v>136474</v>
      </c>
      <c r="J134" s="77">
        <f t="shared" si="37"/>
        <v>46748</v>
      </c>
      <c r="K134" s="77">
        <f t="shared" si="37"/>
        <v>48256</v>
      </c>
      <c r="L134" s="77">
        <f t="shared" si="37"/>
        <v>45240</v>
      </c>
      <c r="M134" s="77">
        <f t="shared" si="37"/>
        <v>140244</v>
      </c>
      <c r="N134" s="77">
        <f t="shared" si="37"/>
        <v>37700</v>
      </c>
      <c r="O134" s="77">
        <f t="shared" si="37"/>
        <v>34684</v>
      </c>
      <c r="P134" s="77">
        <f t="shared" si="37"/>
        <v>37700</v>
      </c>
      <c r="Q134" s="77">
        <f t="shared" si="37"/>
        <v>110084</v>
      </c>
      <c r="R134" s="77">
        <f t="shared" si="37"/>
        <v>464464</v>
      </c>
    </row>
    <row r="135" spans="1:18" ht="15" thickTop="1">
      <c r="E135" s="25"/>
      <c r="I135" s="25"/>
      <c r="M135" s="25"/>
      <c r="Q135" s="25"/>
      <c r="R135" s="25"/>
    </row>
    <row r="136" spans="1:18">
      <c r="E136" s="25"/>
      <c r="I136" s="25"/>
      <c r="M136" s="25"/>
      <c r="Q136" s="25"/>
      <c r="R136" s="25"/>
    </row>
    <row r="137" spans="1:18">
      <c r="A137" s="206" t="s">
        <v>59</v>
      </c>
      <c r="B137" s="206"/>
      <c r="C137" s="1"/>
      <c r="D137" s="1"/>
      <c r="E137" s="1"/>
      <c r="F137" s="73"/>
      <c r="G137" s="1"/>
      <c r="H137" s="1"/>
      <c r="I137" s="1"/>
      <c r="J137" s="1"/>
      <c r="K137" s="1"/>
      <c r="L137" s="1"/>
      <c r="M137" s="1"/>
      <c r="N137" s="74"/>
      <c r="O137" s="74"/>
      <c r="P137" s="74"/>
      <c r="Q137" s="1"/>
      <c r="R137" s="1"/>
    </row>
    <row r="138" spans="1:18" ht="15" thickBot="1">
      <c r="A138" s="3"/>
      <c r="B138" s="3"/>
      <c r="C138" s="3"/>
      <c r="D138" s="3"/>
      <c r="E138" s="78"/>
      <c r="F138" s="3"/>
      <c r="G138" s="3"/>
      <c r="H138" s="3"/>
      <c r="I138" s="78"/>
      <c r="J138" s="3"/>
      <c r="K138" s="3"/>
      <c r="L138" s="3"/>
      <c r="M138" s="78"/>
      <c r="N138" s="3"/>
      <c r="O138" s="3"/>
      <c r="P138" s="3"/>
      <c r="Q138" s="78"/>
      <c r="R138" s="78"/>
    </row>
    <row r="139" spans="1:18" ht="15" thickTop="1">
      <c r="A139" s="46" t="s">
        <v>3</v>
      </c>
      <c r="B139" s="45" t="s">
        <v>4</v>
      </c>
      <c r="C139" s="45" t="s">
        <v>5</v>
      </c>
      <c r="D139" s="45" t="s">
        <v>6</v>
      </c>
      <c r="E139" s="46" t="s">
        <v>7</v>
      </c>
      <c r="F139" s="61" t="s">
        <v>8</v>
      </c>
      <c r="G139" s="61" t="s">
        <v>9</v>
      </c>
      <c r="H139" s="61" t="s">
        <v>10</v>
      </c>
      <c r="I139" s="59" t="s">
        <v>11</v>
      </c>
      <c r="J139" s="61" t="s">
        <v>12</v>
      </c>
      <c r="K139" s="61" t="s">
        <v>13</v>
      </c>
      <c r="L139" s="61" t="s">
        <v>14</v>
      </c>
      <c r="M139" s="59" t="s">
        <v>15</v>
      </c>
      <c r="N139" s="61" t="s">
        <v>16</v>
      </c>
      <c r="O139" s="61" t="s">
        <v>17</v>
      </c>
      <c r="P139" s="61" t="s">
        <v>18</v>
      </c>
      <c r="Q139" s="59" t="s">
        <v>19</v>
      </c>
      <c r="R139" s="60" t="s">
        <v>20</v>
      </c>
    </row>
    <row r="140" spans="1:18">
      <c r="A140" s="21" t="s">
        <v>50</v>
      </c>
      <c r="B140" s="79">
        <f t="shared" ref="B140:R140" si="38">B31</f>
        <v>625600</v>
      </c>
      <c r="C140" s="28">
        <f t="shared" si="38"/>
        <v>580600</v>
      </c>
      <c r="D140" s="28">
        <f t="shared" si="38"/>
        <v>646200</v>
      </c>
      <c r="E140" s="28">
        <f t="shared" si="38"/>
        <v>1852400</v>
      </c>
      <c r="F140" s="28">
        <f t="shared" si="38"/>
        <v>672900</v>
      </c>
      <c r="G140" s="28">
        <f t="shared" si="38"/>
        <v>730400</v>
      </c>
      <c r="H140" s="28">
        <f t="shared" si="38"/>
        <v>792300</v>
      </c>
      <c r="I140" s="28">
        <f t="shared" si="38"/>
        <v>2195600</v>
      </c>
      <c r="J140" s="28">
        <f t="shared" si="38"/>
        <v>766600</v>
      </c>
      <c r="K140" s="28">
        <f t="shared" si="38"/>
        <v>731700</v>
      </c>
      <c r="L140" s="28">
        <f t="shared" si="38"/>
        <v>708000</v>
      </c>
      <c r="M140" s="28">
        <f t="shared" si="38"/>
        <v>2206300</v>
      </c>
      <c r="N140" s="28">
        <f t="shared" si="38"/>
        <v>668900</v>
      </c>
      <c r="O140" s="28">
        <f t="shared" si="38"/>
        <v>627300</v>
      </c>
      <c r="P140" s="28">
        <f t="shared" si="38"/>
        <v>572600</v>
      </c>
      <c r="Q140" s="28">
        <f t="shared" si="38"/>
        <v>1868800</v>
      </c>
      <c r="R140" s="29">
        <f t="shared" si="38"/>
        <v>8123100</v>
      </c>
    </row>
    <row r="141" spans="1:18">
      <c r="A141" s="75" t="s">
        <v>51</v>
      </c>
      <c r="B141" s="26">
        <f t="shared" ref="B141:R141" si="39">B45</f>
        <v>16968</v>
      </c>
      <c r="C141" s="26">
        <f t="shared" si="39"/>
        <v>15818</v>
      </c>
      <c r="D141" s="26">
        <f t="shared" si="39"/>
        <v>17736</v>
      </c>
      <c r="E141" s="28">
        <f t="shared" si="39"/>
        <v>50522</v>
      </c>
      <c r="F141" s="26">
        <f t="shared" si="39"/>
        <v>18792</v>
      </c>
      <c r="G141" s="26">
        <f t="shared" si="39"/>
        <v>20470</v>
      </c>
      <c r="H141" s="26">
        <f t="shared" si="39"/>
        <v>22199</v>
      </c>
      <c r="I141" s="28">
        <f t="shared" si="39"/>
        <v>61461</v>
      </c>
      <c r="J141" s="26">
        <f t="shared" si="39"/>
        <v>23080.01</v>
      </c>
      <c r="K141" s="26">
        <f t="shared" si="39"/>
        <v>22330.01</v>
      </c>
      <c r="L141" s="26">
        <f t="shared" si="39"/>
        <v>19900</v>
      </c>
      <c r="M141" s="28">
        <f t="shared" si="39"/>
        <v>61974</v>
      </c>
      <c r="N141" s="26">
        <f t="shared" si="39"/>
        <v>18668</v>
      </c>
      <c r="O141" s="26">
        <f t="shared" si="39"/>
        <v>17518</v>
      </c>
      <c r="P141" s="26">
        <f t="shared" si="39"/>
        <v>15814</v>
      </c>
      <c r="Q141" s="28">
        <f t="shared" si="39"/>
        <v>52000</v>
      </c>
      <c r="R141" s="29">
        <f t="shared" si="39"/>
        <v>225957</v>
      </c>
    </row>
    <row r="142" spans="1:18">
      <c r="A142" s="5" t="s">
        <v>52</v>
      </c>
      <c r="B142" s="28">
        <f t="shared" ref="B142:Q142" si="40">B140-B141</f>
        <v>608632</v>
      </c>
      <c r="C142" s="28">
        <f t="shared" si="40"/>
        <v>564782</v>
      </c>
      <c r="D142" s="28">
        <f t="shared" si="40"/>
        <v>628464</v>
      </c>
      <c r="E142" s="28">
        <f t="shared" si="40"/>
        <v>1801878</v>
      </c>
      <c r="F142" s="28">
        <f t="shared" si="40"/>
        <v>654108</v>
      </c>
      <c r="G142" s="28">
        <f t="shared" si="40"/>
        <v>709930</v>
      </c>
      <c r="H142" s="28">
        <f t="shared" si="40"/>
        <v>770101</v>
      </c>
      <c r="I142" s="28">
        <f t="shared" si="40"/>
        <v>2134139</v>
      </c>
      <c r="J142" s="28">
        <f t="shared" si="40"/>
        <v>743519.99</v>
      </c>
      <c r="K142" s="28">
        <f t="shared" si="40"/>
        <v>709369.99</v>
      </c>
      <c r="L142" s="28">
        <f t="shared" si="40"/>
        <v>688100</v>
      </c>
      <c r="M142" s="28">
        <f t="shared" si="40"/>
        <v>2144326</v>
      </c>
      <c r="N142" s="28">
        <f t="shared" si="40"/>
        <v>650232</v>
      </c>
      <c r="O142" s="28">
        <f t="shared" si="40"/>
        <v>609782</v>
      </c>
      <c r="P142" s="28">
        <f t="shared" si="40"/>
        <v>556786</v>
      </c>
      <c r="Q142" s="28">
        <f t="shared" si="40"/>
        <v>1816800</v>
      </c>
      <c r="R142" s="29">
        <f>Q142+M142+I142+E142</f>
        <v>7897143</v>
      </c>
    </row>
    <row r="143" spans="1:18">
      <c r="A143" s="75" t="s">
        <v>53</v>
      </c>
      <c r="B143" s="26">
        <f t="shared" ref="B143:R143" si="41">B86</f>
        <v>4392</v>
      </c>
      <c r="C143" s="26">
        <f t="shared" si="41"/>
        <v>4092</v>
      </c>
      <c r="D143" s="26">
        <f t="shared" si="41"/>
        <v>4584</v>
      </c>
      <c r="E143" s="28">
        <f t="shared" si="41"/>
        <v>13068</v>
      </c>
      <c r="F143" s="26">
        <f t="shared" si="41"/>
        <v>4863</v>
      </c>
      <c r="G143" s="26">
        <f t="shared" si="41"/>
        <v>5310</v>
      </c>
      <c r="H143" s="26">
        <f t="shared" si="41"/>
        <v>5745</v>
      </c>
      <c r="I143" s="28">
        <f t="shared" si="41"/>
        <v>15918</v>
      </c>
      <c r="J143" s="26">
        <f t="shared" si="41"/>
        <v>6413</v>
      </c>
      <c r="K143" s="26">
        <f t="shared" si="41"/>
        <v>6159</v>
      </c>
      <c r="L143" s="26">
        <f t="shared" si="41"/>
        <v>5946</v>
      </c>
      <c r="M143" s="28">
        <f t="shared" si="41"/>
        <v>18518</v>
      </c>
      <c r="N143" s="26">
        <f t="shared" si="41"/>
        <v>5553.5</v>
      </c>
      <c r="O143" s="26">
        <f t="shared" si="41"/>
        <v>5193.4999999999991</v>
      </c>
      <c r="P143" s="26">
        <f t="shared" si="41"/>
        <v>4675</v>
      </c>
      <c r="Q143" s="28">
        <f t="shared" si="41"/>
        <v>15422</v>
      </c>
      <c r="R143" s="29">
        <f t="shared" si="41"/>
        <v>62926</v>
      </c>
    </row>
    <row r="144" spans="1:18">
      <c r="A144" s="75" t="s">
        <v>54</v>
      </c>
      <c r="B144" s="26">
        <f t="shared" ref="B144:R144" si="42">B72</f>
        <v>12512</v>
      </c>
      <c r="C144" s="26">
        <f t="shared" si="42"/>
        <v>11612</v>
      </c>
      <c r="D144" s="26">
        <f t="shared" si="42"/>
        <v>12924</v>
      </c>
      <c r="E144" s="28">
        <f t="shared" si="42"/>
        <v>37048</v>
      </c>
      <c r="F144" s="26">
        <f t="shared" si="42"/>
        <v>13458</v>
      </c>
      <c r="G144" s="26">
        <f t="shared" si="42"/>
        <v>14608</v>
      </c>
      <c r="H144" s="26">
        <f t="shared" si="42"/>
        <v>15846</v>
      </c>
      <c r="I144" s="28">
        <f t="shared" si="42"/>
        <v>43912</v>
      </c>
      <c r="J144" s="26">
        <f t="shared" si="42"/>
        <v>15332</v>
      </c>
      <c r="K144" s="26">
        <f t="shared" si="42"/>
        <v>14634</v>
      </c>
      <c r="L144" s="26">
        <f t="shared" si="42"/>
        <v>14160</v>
      </c>
      <c r="M144" s="28">
        <f t="shared" si="42"/>
        <v>44126</v>
      </c>
      <c r="N144" s="26">
        <f t="shared" si="42"/>
        <v>13378</v>
      </c>
      <c r="O144" s="26">
        <f t="shared" si="42"/>
        <v>12546</v>
      </c>
      <c r="P144" s="26">
        <f t="shared" si="42"/>
        <v>11452</v>
      </c>
      <c r="Q144" s="28">
        <f t="shared" si="42"/>
        <v>37376</v>
      </c>
      <c r="R144" s="29">
        <f t="shared" si="42"/>
        <v>162462</v>
      </c>
    </row>
    <row r="145" spans="1:18" ht="15" thickBot="1">
      <c r="A145" s="76" t="s">
        <v>55</v>
      </c>
      <c r="B145" s="77">
        <f>B142-B143-B144</f>
        <v>591728</v>
      </c>
      <c r="C145" s="77">
        <f>C142-C143-C144</f>
        <v>549078</v>
      </c>
      <c r="D145" s="77">
        <f>D142-D143-D144</f>
        <v>610956</v>
      </c>
      <c r="E145" s="77">
        <f>SUM(B145:D145)</f>
        <v>1751762</v>
      </c>
      <c r="F145" s="77">
        <f t="shared" ref="F145:L145" si="43">F142-F143-F144</f>
        <v>635787</v>
      </c>
      <c r="G145" s="77">
        <f t="shared" si="43"/>
        <v>690012</v>
      </c>
      <c r="H145" s="77">
        <f t="shared" si="43"/>
        <v>748510</v>
      </c>
      <c r="I145" s="77">
        <f t="shared" si="43"/>
        <v>2074309</v>
      </c>
      <c r="J145" s="77">
        <f t="shared" si="43"/>
        <v>721774.99</v>
      </c>
      <c r="K145" s="77">
        <f t="shared" si="43"/>
        <v>688576.99</v>
      </c>
      <c r="L145" s="77">
        <f t="shared" si="43"/>
        <v>667994</v>
      </c>
      <c r="M145" s="77">
        <f>SUM(J145:L145)</f>
        <v>2078345.98</v>
      </c>
      <c r="N145" s="77">
        <f>N142-N143-N144</f>
        <v>631300.5</v>
      </c>
      <c r="O145" s="77">
        <f>O142-O143-O144</f>
        <v>592042.5</v>
      </c>
      <c r="P145" s="77">
        <f>P142-P143-P144</f>
        <v>540659</v>
      </c>
      <c r="Q145" s="77">
        <f>Q142-Q143-Q144</f>
        <v>1764002</v>
      </c>
      <c r="R145" s="77">
        <f>R142-R143-R144</f>
        <v>7671755</v>
      </c>
    </row>
    <row r="146" spans="1:18" ht="15" thickTop="1">
      <c r="E146" s="25"/>
      <c r="I146" s="25"/>
      <c r="M146" s="25"/>
      <c r="Q146" s="25"/>
      <c r="R146" s="25"/>
    </row>
    <row r="147" spans="1:18">
      <c r="E147" s="25"/>
      <c r="I147" s="25"/>
      <c r="M147" s="25"/>
      <c r="Q147" s="25"/>
      <c r="R147" s="25"/>
    </row>
    <row r="148" spans="1:18">
      <c r="A148" s="206" t="s">
        <v>60</v>
      </c>
      <c r="B148" s="206"/>
      <c r="C148" s="1"/>
      <c r="D148" s="1"/>
      <c r="E148" s="1"/>
      <c r="F148" s="73"/>
      <c r="G148" s="1"/>
      <c r="H148" s="1"/>
      <c r="I148" s="1"/>
      <c r="J148" s="1"/>
      <c r="K148" s="1"/>
      <c r="L148" s="1"/>
      <c r="M148" s="1"/>
      <c r="N148" s="74"/>
      <c r="O148" s="74"/>
      <c r="P148" s="74"/>
      <c r="Q148" s="1"/>
      <c r="R148" s="1"/>
    </row>
    <row r="149" spans="1:18" ht="15" thickBot="1">
      <c r="A149" s="3"/>
      <c r="B149" s="3"/>
      <c r="C149" s="3"/>
      <c r="D149" s="3"/>
      <c r="E149" s="78"/>
      <c r="F149" s="3"/>
      <c r="G149" s="3"/>
      <c r="H149" s="3"/>
      <c r="I149" s="78"/>
      <c r="J149" s="3"/>
      <c r="K149" s="3"/>
      <c r="L149" s="3"/>
      <c r="M149" s="78"/>
      <c r="N149" s="3"/>
      <c r="O149" s="3"/>
      <c r="P149" s="3"/>
      <c r="Q149" s="78"/>
      <c r="R149" s="78"/>
    </row>
    <row r="150" spans="1:18" ht="15" thickTop="1">
      <c r="A150" s="46" t="s">
        <v>3</v>
      </c>
      <c r="B150" s="45" t="s">
        <v>4</v>
      </c>
      <c r="C150" s="45" t="s">
        <v>5</v>
      </c>
      <c r="D150" s="45" t="s">
        <v>6</v>
      </c>
      <c r="E150" s="46" t="s">
        <v>7</v>
      </c>
      <c r="F150" s="61" t="s">
        <v>8</v>
      </c>
      <c r="G150" s="61" t="s">
        <v>9</v>
      </c>
      <c r="H150" s="61" t="s">
        <v>10</v>
      </c>
      <c r="I150" s="59" t="s">
        <v>11</v>
      </c>
      <c r="J150" s="61" t="s">
        <v>12</v>
      </c>
      <c r="K150" s="61" t="s">
        <v>13</v>
      </c>
      <c r="L150" s="61" t="s">
        <v>14</v>
      </c>
      <c r="M150" s="59" t="s">
        <v>15</v>
      </c>
      <c r="N150" s="61" t="s">
        <v>16</v>
      </c>
      <c r="O150" s="61" t="s">
        <v>17</v>
      </c>
      <c r="P150" s="61" t="s">
        <v>18</v>
      </c>
      <c r="Q150" s="59" t="s">
        <v>19</v>
      </c>
      <c r="R150" s="60" t="s">
        <v>20</v>
      </c>
    </row>
    <row r="151" spans="1:18">
      <c r="A151" s="21" t="s">
        <v>50</v>
      </c>
      <c r="B151" s="25">
        <f t="shared" ref="B151:R151" si="44">B35</f>
        <v>217000</v>
      </c>
      <c r="C151" s="25">
        <f t="shared" si="44"/>
        <v>230000</v>
      </c>
      <c r="D151" s="25">
        <f t="shared" si="44"/>
        <v>266000</v>
      </c>
      <c r="E151" s="25">
        <f t="shared" si="44"/>
        <v>713000</v>
      </c>
      <c r="F151" s="28">
        <f t="shared" si="44"/>
        <v>288500</v>
      </c>
      <c r="G151" s="28">
        <f t="shared" si="44"/>
        <v>325500</v>
      </c>
      <c r="H151" s="28">
        <f t="shared" si="44"/>
        <v>345200</v>
      </c>
      <c r="I151" s="28">
        <f t="shared" si="44"/>
        <v>959200</v>
      </c>
      <c r="J151" s="28">
        <f t="shared" si="44"/>
        <v>378900</v>
      </c>
      <c r="K151" s="28">
        <f t="shared" si="44"/>
        <v>381200</v>
      </c>
      <c r="L151" s="28">
        <f t="shared" si="44"/>
        <v>348800</v>
      </c>
      <c r="M151" s="28">
        <f t="shared" si="44"/>
        <v>1108900</v>
      </c>
      <c r="N151" s="28">
        <f t="shared" si="44"/>
        <v>309700</v>
      </c>
      <c r="O151" s="28">
        <f t="shared" si="44"/>
        <v>267400</v>
      </c>
      <c r="P151" s="28">
        <f t="shared" si="44"/>
        <v>232400</v>
      </c>
      <c r="Q151" s="28">
        <f t="shared" si="44"/>
        <v>809500</v>
      </c>
      <c r="R151" s="29">
        <f t="shared" si="44"/>
        <v>3590600</v>
      </c>
    </row>
    <row r="152" spans="1:18">
      <c r="A152" s="75" t="s">
        <v>51</v>
      </c>
      <c r="B152">
        <f t="shared" ref="B152:R152" si="45">B49</f>
        <v>7810</v>
      </c>
      <c r="C152" s="26">
        <f t="shared" si="45"/>
        <v>8300</v>
      </c>
      <c r="D152" s="26">
        <f t="shared" si="45"/>
        <v>9780</v>
      </c>
      <c r="E152" s="28">
        <f t="shared" si="45"/>
        <v>25890</v>
      </c>
      <c r="F152" s="26">
        <f t="shared" si="45"/>
        <v>10625</v>
      </c>
      <c r="G152" s="26">
        <f t="shared" si="45"/>
        <v>12115</v>
      </c>
      <c r="H152" s="26">
        <f t="shared" si="45"/>
        <v>12916</v>
      </c>
      <c r="I152" s="28">
        <f t="shared" si="45"/>
        <v>35656</v>
      </c>
      <c r="J152" s="26">
        <f t="shared" si="45"/>
        <v>14257</v>
      </c>
      <c r="K152" s="26">
        <f t="shared" si="45"/>
        <v>14436</v>
      </c>
      <c r="L152" s="26">
        <f t="shared" si="45"/>
        <v>13104</v>
      </c>
      <c r="M152" s="28">
        <f t="shared" si="45"/>
        <v>41797</v>
      </c>
      <c r="N152" s="26">
        <f t="shared" si="45"/>
        <v>11501</v>
      </c>
      <c r="O152" s="26">
        <f t="shared" si="45"/>
        <v>9922</v>
      </c>
      <c r="P152" s="26">
        <f t="shared" si="45"/>
        <v>8532</v>
      </c>
      <c r="Q152" s="28">
        <f t="shared" si="45"/>
        <v>29955</v>
      </c>
      <c r="R152" s="29">
        <f t="shared" si="45"/>
        <v>133298</v>
      </c>
    </row>
    <row r="153" spans="1:18">
      <c r="A153" s="5" t="s">
        <v>52</v>
      </c>
      <c r="B153" s="28">
        <f t="shared" ref="B153:R153" si="46">B151-B152</f>
        <v>209190</v>
      </c>
      <c r="C153" s="28">
        <f t="shared" si="46"/>
        <v>221700</v>
      </c>
      <c r="D153" s="28">
        <f t="shared" si="46"/>
        <v>256220</v>
      </c>
      <c r="E153" s="28">
        <f t="shared" si="46"/>
        <v>687110</v>
      </c>
      <c r="F153" s="28">
        <f t="shared" si="46"/>
        <v>277875</v>
      </c>
      <c r="G153" s="28">
        <f t="shared" si="46"/>
        <v>313385</v>
      </c>
      <c r="H153" s="28">
        <f t="shared" si="46"/>
        <v>332284</v>
      </c>
      <c r="I153" s="28">
        <f t="shared" si="46"/>
        <v>923544</v>
      </c>
      <c r="J153" s="28">
        <f t="shared" si="46"/>
        <v>364643</v>
      </c>
      <c r="K153" s="28">
        <f t="shared" si="46"/>
        <v>366764</v>
      </c>
      <c r="L153" s="28">
        <f t="shared" si="46"/>
        <v>335696</v>
      </c>
      <c r="M153" s="28">
        <f t="shared" si="46"/>
        <v>1067103</v>
      </c>
      <c r="N153" s="28">
        <f t="shared" si="46"/>
        <v>298199</v>
      </c>
      <c r="O153" s="28">
        <f t="shared" si="46"/>
        <v>257478</v>
      </c>
      <c r="P153" s="28">
        <f t="shared" si="46"/>
        <v>223868</v>
      </c>
      <c r="Q153" s="28">
        <f t="shared" si="46"/>
        <v>779545</v>
      </c>
      <c r="R153" s="29">
        <f t="shared" si="46"/>
        <v>3457302</v>
      </c>
    </row>
    <row r="154" spans="1:18">
      <c r="A154" s="75" t="s">
        <v>53</v>
      </c>
      <c r="B154" s="26">
        <f t="shared" ref="B154:R154" si="47">B90</f>
        <v>2550</v>
      </c>
      <c r="C154" s="26">
        <f t="shared" si="47"/>
        <v>2700</v>
      </c>
      <c r="D154" s="26">
        <f t="shared" si="47"/>
        <v>3100</v>
      </c>
      <c r="E154" s="28">
        <f t="shared" si="47"/>
        <v>8350</v>
      </c>
      <c r="F154" s="26">
        <f t="shared" si="47"/>
        <v>3360</v>
      </c>
      <c r="G154" s="26">
        <f t="shared" si="47"/>
        <v>3775</v>
      </c>
      <c r="H154" s="26">
        <f t="shared" si="47"/>
        <v>3995</v>
      </c>
      <c r="I154" s="28">
        <f t="shared" si="47"/>
        <v>11130</v>
      </c>
      <c r="J154" s="26">
        <f t="shared" si="47"/>
        <v>4812.5000000000009</v>
      </c>
      <c r="K154" s="26">
        <f t="shared" si="47"/>
        <v>4768.5000000000009</v>
      </c>
      <c r="L154" s="26">
        <f t="shared" si="47"/>
        <v>4433.0000000000009</v>
      </c>
      <c r="M154" s="28">
        <f t="shared" si="47"/>
        <v>14014.000000000004</v>
      </c>
      <c r="N154" s="26">
        <f t="shared" si="47"/>
        <v>3954.5</v>
      </c>
      <c r="O154" s="26">
        <f t="shared" si="47"/>
        <v>3415.5</v>
      </c>
      <c r="P154" s="26">
        <f t="shared" si="47"/>
        <v>2981</v>
      </c>
      <c r="Q154" s="28">
        <f t="shared" si="47"/>
        <v>10351</v>
      </c>
      <c r="R154" s="29">
        <f t="shared" si="47"/>
        <v>43845</v>
      </c>
    </row>
    <row r="155" spans="1:18">
      <c r="A155" s="75" t="s">
        <v>54</v>
      </c>
      <c r="B155" s="26">
        <f t="shared" ref="B155:R155" si="48">B76</f>
        <v>6510</v>
      </c>
      <c r="C155" s="26">
        <f t="shared" si="48"/>
        <v>8100</v>
      </c>
      <c r="D155" s="26">
        <f t="shared" si="48"/>
        <v>7980</v>
      </c>
      <c r="E155" s="28">
        <f t="shared" si="48"/>
        <v>22590</v>
      </c>
      <c r="F155" s="26">
        <f t="shared" si="48"/>
        <v>8655</v>
      </c>
      <c r="G155" s="26">
        <f t="shared" si="48"/>
        <v>9765</v>
      </c>
      <c r="H155" s="26">
        <f t="shared" si="48"/>
        <v>10356</v>
      </c>
      <c r="I155" s="28">
        <f t="shared" si="48"/>
        <v>28776</v>
      </c>
      <c r="J155" s="26">
        <f t="shared" si="48"/>
        <v>11367</v>
      </c>
      <c r="K155" s="26">
        <f t="shared" si="48"/>
        <v>11436</v>
      </c>
      <c r="L155" s="26">
        <f t="shared" si="48"/>
        <v>10464</v>
      </c>
      <c r="M155" s="28">
        <f t="shared" si="48"/>
        <v>33267</v>
      </c>
      <c r="N155" s="26">
        <f t="shared" si="48"/>
        <v>9291</v>
      </c>
      <c r="O155" s="26">
        <f t="shared" si="48"/>
        <v>8022</v>
      </c>
      <c r="P155" s="26">
        <f t="shared" si="48"/>
        <v>6972</v>
      </c>
      <c r="Q155" s="28">
        <f t="shared" si="48"/>
        <v>24285</v>
      </c>
      <c r="R155" s="29">
        <f t="shared" si="48"/>
        <v>108918</v>
      </c>
    </row>
    <row r="156" spans="1:18" ht="15" thickBot="1">
      <c r="A156" s="76" t="s">
        <v>55</v>
      </c>
      <c r="B156" s="77">
        <f t="shared" ref="B156:R156" si="49">B153-B154-B155</f>
        <v>200130</v>
      </c>
      <c r="C156" s="77">
        <f t="shared" si="49"/>
        <v>210900</v>
      </c>
      <c r="D156" s="77">
        <f t="shared" si="49"/>
        <v>245140</v>
      </c>
      <c r="E156" s="77">
        <f t="shared" si="49"/>
        <v>656170</v>
      </c>
      <c r="F156" s="77">
        <f t="shared" si="49"/>
        <v>265860</v>
      </c>
      <c r="G156" s="77">
        <f t="shared" si="49"/>
        <v>299845</v>
      </c>
      <c r="H156" s="77">
        <f t="shared" si="49"/>
        <v>317933</v>
      </c>
      <c r="I156" s="77">
        <f t="shared" si="49"/>
        <v>883638</v>
      </c>
      <c r="J156" s="77">
        <f t="shared" si="49"/>
        <v>348463.5</v>
      </c>
      <c r="K156" s="77">
        <f t="shared" si="49"/>
        <v>350559.5</v>
      </c>
      <c r="L156" s="77">
        <f t="shared" si="49"/>
        <v>320799</v>
      </c>
      <c r="M156" s="77">
        <f t="shared" si="49"/>
        <v>1019822</v>
      </c>
      <c r="N156" s="77">
        <f t="shared" si="49"/>
        <v>284953.5</v>
      </c>
      <c r="O156" s="77">
        <f t="shared" si="49"/>
        <v>246040.5</v>
      </c>
      <c r="P156" s="77">
        <f t="shared" si="49"/>
        <v>213915</v>
      </c>
      <c r="Q156" s="77">
        <f t="shared" si="49"/>
        <v>744909</v>
      </c>
      <c r="R156" s="77">
        <f t="shared" si="49"/>
        <v>3304539</v>
      </c>
    </row>
    <row r="157" spans="1:18" ht="15" thickTop="1">
      <c r="E157" s="25"/>
      <c r="I157" s="25"/>
      <c r="M157" s="25"/>
      <c r="Q157" s="25"/>
      <c r="R157" s="25"/>
    </row>
    <row r="158" spans="1:18">
      <c r="E158" s="25"/>
      <c r="I158" s="25"/>
      <c r="M158" s="25"/>
      <c r="Q158" s="25"/>
      <c r="R158" s="25"/>
    </row>
    <row r="159" spans="1:18">
      <c r="A159" s="206" t="s">
        <v>61</v>
      </c>
      <c r="B159" s="206"/>
      <c r="C159" s="1"/>
      <c r="D159" s="1"/>
      <c r="E159" s="1"/>
      <c r="F159" s="73"/>
      <c r="G159" s="1"/>
      <c r="H159" s="1"/>
      <c r="I159" s="1"/>
      <c r="J159" s="1"/>
      <c r="K159" s="1"/>
      <c r="L159" s="1"/>
      <c r="M159" s="1"/>
      <c r="N159" s="74"/>
      <c r="O159" s="74"/>
      <c r="P159" s="74"/>
      <c r="Q159" s="1"/>
      <c r="R159" s="1"/>
    </row>
    <row r="160" spans="1:18" ht="15" thickBot="1">
      <c r="A160" s="3"/>
      <c r="B160" s="3"/>
      <c r="C160" s="3"/>
      <c r="D160" s="3"/>
      <c r="E160" s="78"/>
      <c r="F160" s="3"/>
      <c r="G160" s="3"/>
      <c r="H160" s="3"/>
      <c r="I160" s="78"/>
      <c r="J160" s="3"/>
      <c r="K160" s="3"/>
      <c r="L160" s="3"/>
      <c r="M160" s="78"/>
      <c r="N160" s="3"/>
      <c r="O160" s="3"/>
      <c r="P160" s="3"/>
      <c r="Q160" s="78"/>
      <c r="R160" s="78"/>
    </row>
    <row r="161" spans="1:18" ht="15" thickTop="1">
      <c r="A161" s="46" t="s">
        <v>3</v>
      </c>
      <c r="B161" s="45" t="s">
        <v>4</v>
      </c>
      <c r="C161" s="45" t="s">
        <v>5</v>
      </c>
      <c r="D161" s="45" t="s">
        <v>6</v>
      </c>
      <c r="E161" s="46" t="s">
        <v>7</v>
      </c>
      <c r="F161" s="61" t="s">
        <v>8</v>
      </c>
      <c r="G161" s="61" t="s">
        <v>9</v>
      </c>
      <c r="H161" s="61" t="s">
        <v>10</v>
      </c>
      <c r="I161" s="59" t="s">
        <v>11</v>
      </c>
      <c r="J161" s="61" t="s">
        <v>12</v>
      </c>
      <c r="K161" s="61" t="s">
        <v>13</v>
      </c>
      <c r="L161" s="61" t="s">
        <v>14</v>
      </c>
      <c r="M161" s="59" t="s">
        <v>15</v>
      </c>
      <c r="N161" s="61" t="s">
        <v>16</v>
      </c>
      <c r="O161" s="61" t="s">
        <v>17</v>
      </c>
      <c r="P161" s="61" t="s">
        <v>18</v>
      </c>
      <c r="Q161" s="59" t="s">
        <v>19</v>
      </c>
      <c r="R161" s="60" t="s">
        <v>20</v>
      </c>
    </row>
    <row r="162" spans="1:18">
      <c r="A162" s="21" t="s">
        <v>50</v>
      </c>
      <c r="B162" s="136">
        <f>B36</f>
        <v>842600</v>
      </c>
      <c r="C162" s="136">
        <f t="shared" ref="C162:R162" si="50">C36</f>
        <v>810600</v>
      </c>
      <c r="D162" s="136">
        <f t="shared" si="50"/>
        <v>912200</v>
      </c>
      <c r="E162" s="135">
        <f t="shared" si="50"/>
        <v>2565400</v>
      </c>
      <c r="F162" s="136">
        <f t="shared" si="50"/>
        <v>961400</v>
      </c>
      <c r="G162" s="136">
        <f t="shared" si="50"/>
        <v>1055900</v>
      </c>
      <c r="H162" s="136">
        <f t="shared" si="50"/>
        <v>1137500</v>
      </c>
      <c r="I162" s="135">
        <f t="shared" si="50"/>
        <v>3154800</v>
      </c>
      <c r="J162" s="136">
        <f t="shared" si="50"/>
        <v>1145500</v>
      </c>
      <c r="K162" s="136">
        <f t="shared" si="50"/>
        <v>1112900</v>
      </c>
      <c r="L162" s="136">
        <f t="shared" si="50"/>
        <v>1056800</v>
      </c>
      <c r="M162" s="135">
        <f t="shared" si="50"/>
        <v>3315200</v>
      </c>
      <c r="N162" s="136">
        <f t="shared" si="50"/>
        <v>978600</v>
      </c>
      <c r="O162" s="136">
        <f t="shared" si="50"/>
        <v>894700</v>
      </c>
      <c r="P162" s="136">
        <f t="shared" si="50"/>
        <v>805000</v>
      </c>
      <c r="Q162" s="135">
        <f t="shared" si="50"/>
        <v>2678300</v>
      </c>
      <c r="R162" s="135">
        <f t="shared" si="50"/>
        <v>11713700</v>
      </c>
    </row>
    <row r="163" spans="1:18">
      <c r="A163" s="75" t="s">
        <v>51</v>
      </c>
      <c r="B163" s="136">
        <f t="shared" ref="B163:R163" si="51">B50</f>
        <v>24778</v>
      </c>
      <c r="C163" s="136">
        <f t="shared" si="51"/>
        <v>24118</v>
      </c>
      <c r="D163" s="136">
        <f t="shared" si="51"/>
        <v>27516</v>
      </c>
      <c r="E163" s="135">
        <f t="shared" si="51"/>
        <v>76412</v>
      </c>
      <c r="F163" s="136">
        <f t="shared" si="51"/>
        <v>29417</v>
      </c>
      <c r="G163" s="136">
        <f t="shared" si="51"/>
        <v>32585</v>
      </c>
      <c r="H163" s="136">
        <f t="shared" si="51"/>
        <v>35115</v>
      </c>
      <c r="I163" s="135">
        <f t="shared" si="51"/>
        <v>97117</v>
      </c>
      <c r="J163" s="136">
        <f t="shared" si="51"/>
        <v>37337.009999999995</v>
      </c>
      <c r="K163" s="136">
        <f t="shared" si="51"/>
        <v>36766.009999999995</v>
      </c>
      <c r="L163" s="136">
        <f t="shared" si="51"/>
        <v>33004</v>
      </c>
      <c r="M163" s="135">
        <f t="shared" si="51"/>
        <v>103771</v>
      </c>
      <c r="N163" s="136">
        <f t="shared" si="51"/>
        <v>30169</v>
      </c>
      <c r="O163" s="136">
        <f t="shared" si="51"/>
        <v>27440</v>
      </c>
      <c r="P163" s="136">
        <f t="shared" si="51"/>
        <v>24346</v>
      </c>
      <c r="Q163" s="135">
        <f t="shared" si="51"/>
        <v>81955</v>
      </c>
      <c r="R163" s="135">
        <f t="shared" si="51"/>
        <v>359255</v>
      </c>
    </row>
    <row r="164" spans="1:18">
      <c r="A164" s="5" t="s">
        <v>52</v>
      </c>
      <c r="B164" s="135">
        <f>B162+B163</f>
        <v>867378</v>
      </c>
      <c r="C164" s="135">
        <f t="shared" ref="C164:R164" si="52">C162-C163</f>
        <v>786482</v>
      </c>
      <c r="D164" s="135">
        <f t="shared" si="52"/>
        <v>884684</v>
      </c>
      <c r="E164" s="135">
        <f t="shared" si="52"/>
        <v>2488988</v>
      </c>
      <c r="F164" s="135">
        <f t="shared" si="52"/>
        <v>931983</v>
      </c>
      <c r="G164" s="135">
        <f t="shared" si="52"/>
        <v>1023315</v>
      </c>
      <c r="H164" s="135">
        <f t="shared" si="52"/>
        <v>1102385</v>
      </c>
      <c r="I164" s="135">
        <f t="shared" si="52"/>
        <v>3057683</v>
      </c>
      <c r="J164" s="135">
        <f t="shared" si="52"/>
        <v>1108162.99</v>
      </c>
      <c r="K164" s="135">
        <f t="shared" si="52"/>
        <v>1076133.99</v>
      </c>
      <c r="L164" s="135">
        <f t="shared" si="52"/>
        <v>1023796</v>
      </c>
      <c r="M164" s="135">
        <f t="shared" si="52"/>
        <v>3211429</v>
      </c>
      <c r="N164" s="135">
        <f t="shared" si="52"/>
        <v>948431</v>
      </c>
      <c r="O164" s="135">
        <f t="shared" si="52"/>
        <v>867260</v>
      </c>
      <c r="P164" s="135">
        <f t="shared" si="52"/>
        <v>780654</v>
      </c>
      <c r="Q164" s="135">
        <f t="shared" si="52"/>
        <v>2596345</v>
      </c>
      <c r="R164" s="135">
        <f t="shared" si="52"/>
        <v>11354445</v>
      </c>
    </row>
    <row r="165" spans="1:18">
      <c r="A165" s="75" t="s">
        <v>53</v>
      </c>
      <c r="B165" s="136">
        <f t="shared" ref="B165:R165" si="53">B91</f>
        <v>6942</v>
      </c>
      <c r="C165" s="136">
        <f t="shared" si="53"/>
        <v>6792</v>
      </c>
      <c r="D165" s="136">
        <f t="shared" si="53"/>
        <v>7684</v>
      </c>
      <c r="E165" s="135">
        <f t="shared" si="53"/>
        <v>21418</v>
      </c>
      <c r="F165" s="136">
        <f t="shared" si="53"/>
        <v>8223</v>
      </c>
      <c r="G165" s="136">
        <f t="shared" si="53"/>
        <v>9085</v>
      </c>
      <c r="H165" s="136">
        <f t="shared" si="53"/>
        <v>9740</v>
      </c>
      <c r="I165" s="135">
        <f t="shared" si="53"/>
        <v>27048</v>
      </c>
      <c r="J165" s="136">
        <f t="shared" si="53"/>
        <v>11225.5</v>
      </c>
      <c r="K165" s="136">
        <f t="shared" si="53"/>
        <v>10927.5</v>
      </c>
      <c r="L165" s="136">
        <f t="shared" si="53"/>
        <v>10379</v>
      </c>
      <c r="M165" s="135">
        <f t="shared" si="53"/>
        <v>32532.000000000004</v>
      </c>
      <c r="N165" s="136">
        <f t="shared" si="53"/>
        <v>9508</v>
      </c>
      <c r="O165" s="136">
        <f t="shared" si="53"/>
        <v>8609</v>
      </c>
      <c r="P165" s="136">
        <f t="shared" si="53"/>
        <v>7656</v>
      </c>
      <c r="Q165" s="135">
        <f t="shared" si="53"/>
        <v>25773</v>
      </c>
      <c r="R165" s="135">
        <f t="shared" si="53"/>
        <v>106771</v>
      </c>
    </row>
    <row r="166" spans="1:18">
      <c r="A166" s="75" t="s">
        <v>54</v>
      </c>
      <c r="B166" s="136">
        <f t="shared" ref="B166:R166" si="54">B77</f>
        <v>19022</v>
      </c>
      <c r="C166" s="136">
        <f t="shared" si="54"/>
        <v>19712</v>
      </c>
      <c r="D166" s="136">
        <f t="shared" si="54"/>
        <v>20904</v>
      </c>
      <c r="E166" s="135">
        <f t="shared" si="54"/>
        <v>59638</v>
      </c>
      <c r="F166" s="136">
        <f t="shared" si="54"/>
        <v>22113</v>
      </c>
      <c r="G166" s="136">
        <f t="shared" si="54"/>
        <v>24373</v>
      </c>
      <c r="H166" s="136">
        <f t="shared" si="54"/>
        <v>26202</v>
      </c>
      <c r="I166" s="135">
        <f t="shared" si="54"/>
        <v>72688</v>
      </c>
      <c r="J166" s="136">
        <f t="shared" si="54"/>
        <v>26699</v>
      </c>
      <c r="K166" s="136">
        <f t="shared" si="54"/>
        <v>26070</v>
      </c>
      <c r="L166" s="136">
        <f t="shared" si="54"/>
        <v>24624</v>
      </c>
      <c r="M166" s="135">
        <f t="shared" si="54"/>
        <v>77393</v>
      </c>
      <c r="N166" s="136">
        <f t="shared" si="54"/>
        <v>22669</v>
      </c>
      <c r="O166" s="136">
        <f t="shared" si="54"/>
        <v>20568</v>
      </c>
      <c r="P166" s="136">
        <f t="shared" si="54"/>
        <v>18424</v>
      </c>
      <c r="Q166" s="135">
        <f t="shared" si="54"/>
        <v>61661</v>
      </c>
      <c r="R166" s="135">
        <f t="shared" si="54"/>
        <v>234004</v>
      </c>
    </row>
    <row r="167" spans="1:18" ht="15" thickBot="1">
      <c r="A167" s="76" t="s">
        <v>55</v>
      </c>
      <c r="B167" s="135">
        <f t="shared" ref="B167:H167" si="55">B164-B165-B166</f>
        <v>841414</v>
      </c>
      <c r="C167" s="135">
        <f t="shared" si="55"/>
        <v>759978</v>
      </c>
      <c r="D167" s="135">
        <f t="shared" si="55"/>
        <v>856096</v>
      </c>
      <c r="E167" s="135">
        <f t="shared" si="55"/>
        <v>2407932</v>
      </c>
      <c r="F167" s="135">
        <f t="shared" si="55"/>
        <v>901647</v>
      </c>
      <c r="G167" s="135">
        <f t="shared" si="55"/>
        <v>989857</v>
      </c>
      <c r="H167" s="135">
        <f t="shared" si="55"/>
        <v>1066443</v>
      </c>
      <c r="I167" s="135">
        <f>F167+G167+H167</f>
        <v>2957947</v>
      </c>
      <c r="J167" s="135">
        <f t="shared" ref="J167:Q167" si="56">J164-J165-J166</f>
        <v>1070238.49</v>
      </c>
      <c r="K167" s="135">
        <f t="shared" si="56"/>
        <v>1039136.49</v>
      </c>
      <c r="L167" s="135">
        <f t="shared" si="56"/>
        <v>988793</v>
      </c>
      <c r="M167" s="135">
        <f t="shared" si="56"/>
        <v>3101504</v>
      </c>
      <c r="N167" s="135">
        <f t="shared" si="56"/>
        <v>916254</v>
      </c>
      <c r="O167" s="135">
        <f t="shared" si="56"/>
        <v>838083</v>
      </c>
      <c r="P167" s="135">
        <f t="shared" si="56"/>
        <v>754574</v>
      </c>
      <c r="Q167" s="135">
        <f t="shared" si="56"/>
        <v>2508911</v>
      </c>
      <c r="R167" s="135">
        <f>Q167+M167+I167+E167</f>
        <v>10976294</v>
      </c>
    </row>
    <row r="168" spans="1:18" ht="15" thickTop="1"/>
    <row r="169" spans="1:18">
      <c r="C169" s="30"/>
    </row>
  </sheetData>
  <mergeCells count="23">
    <mergeCell ref="A65:C65"/>
    <mergeCell ref="A79:B79"/>
    <mergeCell ref="A2:B2"/>
    <mergeCell ref="V3:W3"/>
    <mergeCell ref="Y3:Z3"/>
    <mergeCell ref="AA3:AB3"/>
    <mergeCell ref="V4:W4"/>
    <mergeCell ref="V5:W5"/>
    <mergeCell ref="V6:W6"/>
    <mergeCell ref="A51:B51"/>
    <mergeCell ref="A15:B15"/>
    <mergeCell ref="A24:B24"/>
    <mergeCell ref="V7:W7"/>
    <mergeCell ref="V8:W8"/>
    <mergeCell ref="V12:W12"/>
    <mergeCell ref="A38:B38"/>
    <mergeCell ref="A148:B148"/>
    <mergeCell ref="A159:B159"/>
    <mergeCell ref="A93:B93"/>
    <mergeCell ref="A104:B104"/>
    <mergeCell ref="A115:B115"/>
    <mergeCell ref="A126:B126"/>
    <mergeCell ref="A137:B137"/>
  </mergeCells>
  <phoneticPr fontId="15" type="noConversion"/>
  <conditionalFormatting sqref="A25:E30">
    <cfRule type="colorScale" priority="58">
      <colorScale>
        <cfvo type="min"/>
        <cfvo type="max"/>
        <color rgb="FF63BE7B"/>
        <color rgb="FFFFEF9C"/>
      </colorScale>
    </cfRule>
  </conditionalFormatting>
  <conditionalFormatting sqref="A31:E31">
    <cfRule type="colorScale" priority="54">
      <colorScale>
        <cfvo type="min"/>
        <cfvo type="max"/>
        <color rgb="FF63BE7B"/>
        <color rgb="FFFFEF9C"/>
      </colorScale>
    </cfRule>
  </conditionalFormatting>
  <conditionalFormatting sqref="A32:E35">
    <cfRule type="colorScale" priority="55">
      <colorScale>
        <cfvo type="min"/>
        <cfvo type="max"/>
        <color rgb="FF63BE7B"/>
        <color rgb="FFFFEF9C"/>
      </colorScale>
    </cfRule>
  </conditionalFormatting>
  <conditionalFormatting sqref="A77:L77 N77:R77 L78">
    <cfRule type="colorScale" priority="4">
      <colorScale>
        <cfvo type="min"/>
        <cfvo type="max"/>
        <color rgb="FFFFEF9C"/>
        <color rgb="FF63BE7B"/>
      </colorScale>
    </cfRule>
  </conditionalFormatting>
  <conditionalFormatting sqref="A3:R11">
    <cfRule type="colorScale" priority="26">
      <colorScale>
        <cfvo type="min"/>
        <cfvo type="max"/>
        <color rgb="FF63BE7B"/>
        <color rgb="FFFCFCFF"/>
      </colorScale>
    </cfRule>
  </conditionalFormatting>
  <conditionalFormatting sqref="A36:R36">
    <cfRule type="colorScale" priority="7">
      <colorScale>
        <cfvo type="min"/>
        <cfvo type="max"/>
        <color rgb="FFFFEF9C"/>
        <color rgb="FF63BE7B"/>
      </colorScale>
    </cfRule>
  </conditionalFormatting>
  <conditionalFormatting sqref="A50:R50">
    <cfRule type="colorScale" priority="6">
      <colorScale>
        <cfvo type="min"/>
        <cfvo type="max"/>
        <color rgb="FFFFEF9C"/>
        <color rgb="FF63BE7B"/>
      </colorScale>
    </cfRule>
  </conditionalFormatting>
  <conditionalFormatting sqref="A63:R63">
    <cfRule type="colorScale" priority="5">
      <colorScale>
        <cfvo type="min"/>
        <cfvo type="max"/>
        <color rgb="FFFFEF9C"/>
        <color rgb="FF63BE7B"/>
      </colorScale>
    </cfRule>
  </conditionalFormatting>
  <conditionalFormatting sqref="A91:R91">
    <cfRule type="colorScale" priority="3">
      <colorScale>
        <cfvo type="min"/>
        <cfvo type="max"/>
        <color rgb="FFFFEF9C"/>
        <color rgb="FF63BE7B"/>
      </colorScale>
    </cfRule>
  </conditionalFormatting>
  <conditionalFormatting sqref="A93:R95 A141:R150 A140 C140:R140 A153:R167 C152:R152 A151:A152 A97:R139 A96">
    <cfRule type="colorScale" priority="16">
      <colorScale>
        <cfvo type="min"/>
        <cfvo type="max"/>
        <color rgb="FF63BE7B"/>
        <color rgb="FFFCFCFF"/>
      </colorScale>
    </cfRule>
  </conditionalFormatting>
  <conditionalFormatting sqref="B140">
    <cfRule type="colorScale" priority="12">
      <colorScale>
        <cfvo type="min"/>
        <cfvo type="max"/>
        <color rgb="FF63BE7B"/>
        <color rgb="FFFCFCFF"/>
      </colorScale>
    </cfRule>
    <cfRule type="colorScale" priority="13">
      <colorScale>
        <cfvo type="min"/>
        <cfvo type="max"/>
        <color rgb="FF63BE7B"/>
        <color rgb="FFFFEF9C"/>
      </colorScale>
    </cfRule>
  </conditionalFormatting>
  <conditionalFormatting sqref="B21:C21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{4FD16AAA-FC0E-4319-9260-F74E33BD41EC}</x14:id>
        </ext>
      </extLst>
    </cfRule>
  </conditionalFormatting>
  <conditionalFormatting sqref="B18:E20">
    <cfRule type="colorScale" priority="57">
      <colorScale>
        <cfvo type="min"/>
        <cfvo type="max"/>
        <color rgb="FF63BE7B"/>
        <color rgb="FFFFEF9C"/>
      </colorScale>
    </cfRule>
  </conditionalFormatting>
  <conditionalFormatting sqref="B41:E49">
    <cfRule type="colorScale" priority="53">
      <colorScale>
        <cfvo type="min"/>
        <cfvo type="max"/>
        <color rgb="FF63BE7B"/>
        <color rgb="FFFFEF9C"/>
      </colorScale>
    </cfRule>
  </conditionalFormatting>
  <conditionalFormatting sqref="B54:E62">
    <cfRule type="colorScale" priority="51">
      <colorScale>
        <cfvo type="min"/>
        <cfvo type="max"/>
        <color rgb="FF63BE7B"/>
        <color rgb="FFFFEF9C"/>
      </colorScale>
    </cfRule>
  </conditionalFormatting>
  <conditionalFormatting sqref="B68:E76">
    <cfRule type="colorScale" priority="30">
      <colorScale>
        <cfvo type="min"/>
        <cfvo type="max"/>
        <color rgb="FF63BE7B"/>
        <color rgb="FFFFEF9C"/>
      </colorScale>
    </cfRule>
  </conditionalFormatting>
  <conditionalFormatting sqref="B82:E90">
    <cfRule type="colorScale" priority="28">
      <colorScale>
        <cfvo type="min"/>
        <cfvo type="max"/>
        <color rgb="FF63BE7B"/>
        <color rgb="FFFFEF9C"/>
      </colorScale>
    </cfRule>
  </conditionalFormatting>
  <conditionalFormatting sqref="B151:E151">
    <cfRule type="colorScale" priority="11">
      <colorScale>
        <cfvo type="min"/>
        <cfvo type="max"/>
        <color rgb="FF63BE7B"/>
        <color rgb="FFFFEF9C"/>
      </colorScale>
    </cfRule>
  </conditionalFormatting>
  <conditionalFormatting sqref="B5:N11">
    <cfRule type="colorScale" priority="63">
      <colorScale>
        <cfvo type="min"/>
        <cfvo type="max"/>
        <color rgb="FF63BE7B"/>
        <color rgb="FFFCFCFF"/>
      </colorScale>
    </cfRule>
  </conditionalFormatting>
  <conditionalFormatting sqref="B151:N151">
    <cfRule type="colorScale" priority="10">
      <colorScale>
        <cfvo type="min"/>
        <cfvo type="max"/>
        <color rgb="FF63BE7B"/>
        <color rgb="FFFCFCFF"/>
      </colorScale>
    </cfRule>
  </conditionalFormatting>
  <conditionalFormatting sqref="E25:R76 E77:L77 N77:R77 E78:R92">
    <cfRule type="colorScale" priority="24">
      <colorScale>
        <cfvo type="min"/>
        <cfvo type="max"/>
        <color rgb="FF63BE7B"/>
        <color rgb="FFFCFCFF"/>
      </colorScale>
    </cfRule>
  </conditionalFormatting>
  <conditionalFormatting sqref="E95:R95">
    <cfRule type="colorScale" priority="23">
      <colorScale>
        <cfvo type="min"/>
        <cfvo type="max"/>
        <color rgb="FF63BE7B"/>
        <color rgb="FFFCFCFF"/>
      </colorScale>
    </cfRule>
  </conditionalFormatting>
  <conditionalFormatting sqref="E106:R106">
    <cfRule type="colorScale" priority="22">
      <colorScale>
        <cfvo type="min"/>
        <cfvo type="max"/>
        <color rgb="FF63BE7B"/>
        <color rgb="FFFCFCFF"/>
      </colorScale>
    </cfRule>
  </conditionalFormatting>
  <conditionalFormatting sqref="E117:R117">
    <cfRule type="colorScale" priority="21">
      <colorScale>
        <cfvo type="min"/>
        <cfvo type="max"/>
        <color rgb="FF63BE7B"/>
        <color rgb="FFFCFCFF"/>
      </colorScale>
    </cfRule>
  </conditionalFormatting>
  <conditionalFormatting sqref="E128:R128">
    <cfRule type="colorScale" priority="20">
      <colorScale>
        <cfvo type="min"/>
        <cfvo type="max"/>
        <color rgb="FF63BE7B"/>
        <color rgb="FFFCFCFF"/>
      </colorScale>
    </cfRule>
  </conditionalFormatting>
  <conditionalFormatting sqref="E139:R139">
    <cfRule type="colorScale" priority="19">
      <colorScale>
        <cfvo type="min"/>
        <cfvo type="max"/>
        <color rgb="FF63BE7B"/>
        <color rgb="FFFCFCFF"/>
      </colorScale>
    </cfRule>
  </conditionalFormatting>
  <conditionalFormatting sqref="E150:R150">
    <cfRule type="colorScale" priority="18">
      <colorScale>
        <cfvo type="min"/>
        <cfvo type="max"/>
        <color rgb="FF63BE7B"/>
        <color rgb="FFFCFCFF"/>
      </colorScale>
    </cfRule>
  </conditionalFormatting>
  <conditionalFormatting sqref="E151:R151">
    <cfRule type="colorScale" priority="9">
      <colorScale>
        <cfvo type="min"/>
        <cfvo type="max"/>
        <color rgb="FF63BE7B"/>
        <color rgb="FFFCFCFF"/>
      </colorScale>
    </cfRule>
  </conditionalFormatting>
  <conditionalFormatting sqref="E161:R161">
    <cfRule type="colorScale" priority="17">
      <colorScale>
        <cfvo type="min"/>
        <cfvo type="max"/>
        <color rgb="FF63BE7B"/>
        <color rgb="FFFCFCFF"/>
      </colorScale>
    </cfRule>
  </conditionalFormatting>
  <conditionalFormatting sqref="F41:N49">
    <cfRule type="colorScale" priority="65">
      <colorScale>
        <cfvo type="min"/>
        <cfvo type="max"/>
        <color rgb="FF63BE7B"/>
        <color rgb="FFFCFCFF"/>
      </colorScale>
    </cfRule>
  </conditionalFormatting>
  <conditionalFormatting sqref="F54:N62">
    <cfRule type="colorScale" priority="66">
      <colorScale>
        <cfvo type="min"/>
        <cfvo type="max"/>
        <color rgb="FF63BE7B"/>
        <color rgb="FFFCFCFF"/>
      </colorScale>
    </cfRule>
  </conditionalFormatting>
  <conditionalFormatting sqref="F68:N76">
    <cfRule type="colorScale" priority="31">
      <colorScale>
        <cfvo type="min"/>
        <cfvo type="max"/>
        <color rgb="FF63BE7B"/>
        <color rgb="FFFCFCFF"/>
      </colorScale>
    </cfRule>
  </conditionalFormatting>
  <conditionalFormatting sqref="F82:N90">
    <cfRule type="colorScale" priority="29">
      <colorScale>
        <cfvo type="min"/>
        <cfvo type="max"/>
        <color rgb="FF63BE7B"/>
        <color rgb="FFFCFCFF"/>
      </colorScale>
    </cfRule>
  </conditionalFormatting>
  <conditionalFormatting sqref="J27:N27 B27:H27 B28:N35">
    <cfRule type="colorScale" priority="37">
      <colorScale>
        <cfvo type="min"/>
        <cfvo type="max"/>
        <color rgb="FF63BE7B"/>
        <color rgb="FFFCFCFF"/>
      </colorScale>
    </cfRule>
  </conditionalFormatting>
  <conditionalFormatting sqref="L5:N10">
    <cfRule type="colorScale" priority="34">
      <colorScale>
        <cfvo type="min"/>
        <cfvo type="max"/>
        <color rgb="FF63BE7B"/>
        <color rgb="FFFCFCFF"/>
      </colorScale>
    </cfRule>
  </conditionalFormatting>
  <conditionalFormatting sqref="T11:U14">
    <cfRule type="colorScale" priority="40">
      <colorScale>
        <cfvo type="min"/>
        <cfvo type="max"/>
        <color rgb="FF63BE7B"/>
        <color rgb="FFFFEF9C"/>
      </colorScale>
    </cfRule>
  </conditionalFormatting>
  <conditionalFormatting sqref="T18:U21">
    <cfRule type="colorScale" priority="39">
      <colorScale>
        <cfvo type="min"/>
        <cfvo type="max"/>
        <color rgb="FF63BE7B"/>
        <color rgb="FFFFEF9C"/>
      </colorScale>
    </cfRule>
  </conditionalFormatting>
  <conditionalFormatting sqref="Y12:AB14 Y15:Z15">
    <cfRule type="colorScale" priority="33">
      <colorScale>
        <cfvo type="min"/>
        <cfvo type="max"/>
        <color rgb="FF63BE7B"/>
        <color rgb="FFFFEF9C"/>
      </colorScale>
    </cfRule>
  </conditionalFormatting>
  <conditionalFormatting sqref="Y19:AB21 Y22:Z22">
    <cfRule type="colorScale" priority="32">
      <colorScale>
        <cfvo type="min"/>
        <cfvo type="max"/>
        <color rgb="FF63BE7B"/>
        <color rgb="FFFFEF9C"/>
      </colorScale>
    </cfRule>
  </conditionalFormatting>
  <conditionalFormatting sqref="A171:R214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221:R23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D16AAA-FC0E-4319-9260-F74E33BD41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B21:C21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BED2-059B-4D28-9ECC-B6FD99307317}">
  <dimension ref="A1:Y558"/>
  <sheetViews>
    <sheetView tabSelected="1" topLeftCell="A538" zoomScale="70" zoomScaleNormal="70" workbookViewId="0">
      <selection activeCell="B553" sqref="B553"/>
    </sheetView>
  </sheetViews>
  <sheetFormatPr defaultRowHeight="14.45"/>
  <cols>
    <col min="1" max="1" width="54.28515625" customWidth="1"/>
    <col min="2" max="2" width="26.28515625" customWidth="1"/>
    <col min="3" max="3" width="20.28515625" customWidth="1"/>
    <col min="4" max="4" width="18.7109375" customWidth="1"/>
    <col min="5" max="6" width="20.28515625" customWidth="1"/>
    <col min="7" max="7" width="23.7109375" customWidth="1"/>
    <col min="8" max="8" width="23.42578125" customWidth="1"/>
    <col min="9" max="9" width="23.140625" customWidth="1"/>
    <col min="10" max="10" width="24.28515625" customWidth="1"/>
    <col min="11" max="11" width="25.85546875" customWidth="1"/>
    <col min="12" max="12" width="25.28515625" customWidth="1"/>
    <col min="13" max="13" width="25" customWidth="1"/>
    <col min="14" max="14" width="24" customWidth="1"/>
    <col min="15" max="15" width="23.42578125" customWidth="1"/>
    <col min="16" max="16" width="24" customWidth="1"/>
    <col min="17" max="18" width="20.7109375" customWidth="1"/>
    <col min="19" max="19" width="9.42578125" bestFit="1" customWidth="1"/>
    <col min="20" max="20" width="36.5703125" bestFit="1" customWidth="1"/>
    <col min="21" max="21" width="34.5703125" customWidth="1"/>
    <col min="22" max="22" width="22.5703125" customWidth="1"/>
    <col min="23" max="23" width="22.28515625" customWidth="1"/>
    <col min="24" max="24" width="21" customWidth="1"/>
    <col min="25" max="25" width="31.28515625" customWidth="1"/>
  </cols>
  <sheetData>
    <row r="1" spans="1:25" ht="24.6">
      <c r="A1" s="18" t="s">
        <v>62</v>
      </c>
      <c r="B1" s="3"/>
      <c r="T1" s="1" t="s">
        <v>63</v>
      </c>
      <c r="U1" s="1"/>
      <c r="V1" s="1"/>
      <c r="W1" s="1"/>
      <c r="X1" s="1"/>
    </row>
    <row r="2" spans="1:25">
      <c r="A2" s="3"/>
      <c r="B2" s="3"/>
    </row>
    <row r="3" spans="1:25">
      <c r="A3" s="55" t="s">
        <v>64</v>
      </c>
      <c r="B3" s="55"/>
      <c r="T3" s="134" t="s">
        <v>3</v>
      </c>
      <c r="U3" s="96" t="s">
        <v>65</v>
      </c>
      <c r="V3" s="219" t="s">
        <v>66</v>
      </c>
      <c r="W3" s="219"/>
      <c r="X3" s="219"/>
      <c r="Y3" s="219"/>
    </row>
    <row r="4" spans="1:25" ht="18" thickBot="1">
      <c r="A4" s="111" t="s">
        <v>3</v>
      </c>
      <c r="B4" s="65" t="s">
        <v>4</v>
      </c>
      <c r="C4" s="65" t="s">
        <v>5</v>
      </c>
      <c r="D4" s="65" t="s">
        <v>6</v>
      </c>
      <c r="E4" s="65" t="s">
        <v>7</v>
      </c>
      <c r="F4" s="65" t="s">
        <v>8</v>
      </c>
      <c r="G4" s="65" t="s">
        <v>9</v>
      </c>
      <c r="H4" s="65" t="s">
        <v>10</v>
      </c>
      <c r="I4" s="65" t="s">
        <v>11</v>
      </c>
      <c r="J4" s="65" t="s">
        <v>12</v>
      </c>
      <c r="K4" s="65" t="s">
        <v>67</v>
      </c>
      <c r="L4" s="65" t="s">
        <v>68</v>
      </c>
      <c r="M4" s="65" t="s">
        <v>15</v>
      </c>
      <c r="N4" s="65" t="s">
        <v>16</v>
      </c>
      <c r="O4" s="65" t="s">
        <v>17</v>
      </c>
      <c r="P4" s="65" t="s">
        <v>18</v>
      </c>
      <c r="Q4" s="65" t="s">
        <v>69</v>
      </c>
      <c r="R4" s="114" t="s">
        <v>70</v>
      </c>
      <c r="T4" s="96"/>
      <c r="U4" s="96"/>
      <c r="V4" s="96" t="s">
        <v>71</v>
      </c>
      <c r="W4" s="96" t="s">
        <v>72</v>
      </c>
      <c r="X4" s="96" t="s">
        <v>73</v>
      </c>
      <c r="Y4" s="96" t="s">
        <v>74</v>
      </c>
    </row>
    <row r="5" spans="1:25" ht="15" thickTop="1">
      <c r="E5" s="25"/>
      <c r="I5" s="25"/>
      <c r="M5" s="25"/>
      <c r="Q5" s="25"/>
      <c r="R5" s="99"/>
      <c r="T5" s="96" t="s">
        <v>75</v>
      </c>
      <c r="U5" s="95" t="s">
        <v>76</v>
      </c>
      <c r="V5" s="95">
        <v>0.08</v>
      </c>
      <c r="W5" s="95">
        <v>0.42</v>
      </c>
      <c r="X5" s="95">
        <v>0.08</v>
      </c>
      <c r="Y5" s="131">
        <v>0.12</v>
      </c>
    </row>
    <row r="6" spans="1:25">
      <c r="A6" s="92" t="s">
        <v>77</v>
      </c>
      <c r="B6" s="115"/>
      <c r="C6" s="115"/>
      <c r="D6" s="115"/>
      <c r="E6" s="116"/>
      <c r="F6" s="115"/>
      <c r="G6" s="115"/>
      <c r="H6" s="115"/>
      <c r="I6" s="116"/>
      <c r="J6" s="115"/>
      <c r="K6" s="115"/>
      <c r="L6" s="115"/>
      <c r="M6" s="116"/>
      <c r="N6" s="115"/>
      <c r="O6" s="115"/>
      <c r="P6" s="115"/>
      <c r="Q6" s="116"/>
      <c r="T6" s="96"/>
      <c r="U6" s="95" t="s">
        <v>78</v>
      </c>
      <c r="V6" s="95">
        <v>0.08</v>
      </c>
      <c r="W6" s="95">
        <v>0.42</v>
      </c>
      <c r="X6" s="95">
        <v>0.01</v>
      </c>
      <c r="Y6" s="131">
        <v>0.08</v>
      </c>
    </row>
    <row r="7" spans="1:25">
      <c r="A7" s="93" t="s">
        <v>30</v>
      </c>
      <c r="B7" s="115">
        <v>1</v>
      </c>
      <c r="C7" s="123">
        <f t="shared" ref="C7:D10" si="0">B17</f>
        <v>950</v>
      </c>
      <c r="D7" s="115">
        <f t="shared" si="0"/>
        <v>1040</v>
      </c>
      <c r="E7" s="116">
        <f>SUM(B7:D7)</f>
        <v>1991</v>
      </c>
      <c r="F7" s="115">
        <f>D17</f>
        <v>1075</v>
      </c>
      <c r="G7" s="115">
        <f t="shared" ref="G7:H10" si="1">F17</f>
        <v>1170</v>
      </c>
      <c r="H7" s="115">
        <f t="shared" si="1"/>
        <v>1864.5</v>
      </c>
      <c r="I7" s="116">
        <f>SUM(F7:H7)</f>
        <v>4109.5</v>
      </c>
      <c r="J7" s="115">
        <f>H17</f>
        <v>1899</v>
      </c>
      <c r="K7" s="115">
        <f t="shared" ref="K7:L10" si="2">J17</f>
        <v>1819.5</v>
      </c>
      <c r="L7" s="115">
        <f t="shared" si="2"/>
        <v>1743</v>
      </c>
      <c r="M7" s="116">
        <f>SUM(J7:L7)</f>
        <v>5461.5</v>
      </c>
      <c r="N7" s="115">
        <f>L17</f>
        <v>1626</v>
      </c>
      <c r="O7" s="117">
        <f t="shared" ref="O7:P10" si="3">N17</f>
        <v>1459.5</v>
      </c>
      <c r="P7" s="115">
        <f t="shared" si="3"/>
        <v>886</v>
      </c>
      <c r="Q7" s="116">
        <f>SUM(N7:P7)</f>
        <v>3971.5</v>
      </c>
      <c r="R7" s="124">
        <f>SUM(E7+I7+M7+Q7)</f>
        <v>15533.5</v>
      </c>
      <c r="T7" s="96"/>
      <c r="U7" s="95" t="s">
        <v>79</v>
      </c>
      <c r="V7" s="95">
        <v>0.02</v>
      </c>
      <c r="W7" s="95">
        <v>0</v>
      </c>
      <c r="X7" s="95">
        <v>0</v>
      </c>
      <c r="Y7" s="131">
        <v>0</v>
      </c>
    </row>
    <row r="8" spans="1:25">
      <c r="A8" s="93" t="s">
        <v>31</v>
      </c>
      <c r="B8" s="115">
        <v>1</v>
      </c>
      <c r="C8" s="115">
        <f t="shared" si="0"/>
        <v>345</v>
      </c>
      <c r="D8" s="115">
        <f t="shared" si="0"/>
        <v>390</v>
      </c>
      <c r="E8" s="116">
        <f>SUM(B8:D8)</f>
        <v>736</v>
      </c>
      <c r="F8" s="115">
        <f>D18</f>
        <v>777</v>
      </c>
      <c r="G8" s="115">
        <f t="shared" si="1"/>
        <v>1690</v>
      </c>
      <c r="H8" s="115">
        <f t="shared" si="1"/>
        <v>1858</v>
      </c>
      <c r="I8" s="116">
        <f>SUM(F8:H8)</f>
        <v>4325</v>
      </c>
      <c r="J8" s="115">
        <f>H18</f>
        <v>1890</v>
      </c>
      <c r="K8" s="115">
        <f t="shared" si="2"/>
        <v>1820</v>
      </c>
      <c r="L8" s="115">
        <f t="shared" si="2"/>
        <v>860</v>
      </c>
      <c r="M8" s="116">
        <f>SUM(J8:L8)</f>
        <v>4570</v>
      </c>
      <c r="N8" s="115">
        <f>L18</f>
        <v>821</v>
      </c>
      <c r="O8" s="115">
        <f t="shared" si="3"/>
        <v>382</v>
      </c>
      <c r="P8" s="115">
        <f t="shared" si="3"/>
        <v>347</v>
      </c>
      <c r="Q8" s="116">
        <f>SUM(N8:P8)</f>
        <v>1550</v>
      </c>
      <c r="R8" s="124">
        <f>SUM(E8+I8+M8+Q8)</f>
        <v>11181</v>
      </c>
      <c r="T8" s="96"/>
      <c r="U8" s="95" t="s">
        <v>80</v>
      </c>
      <c r="V8" s="95">
        <v>0.3</v>
      </c>
      <c r="W8" s="95">
        <v>0</v>
      </c>
      <c r="X8" s="95">
        <v>0</v>
      </c>
      <c r="Y8" s="131">
        <v>0</v>
      </c>
    </row>
    <row r="9" spans="1:25">
      <c r="A9" s="93" t="s">
        <v>81</v>
      </c>
      <c r="B9" s="115">
        <v>1</v>
      </c>
      <c r="C9" s="115">
        <f t="shared" si="0"/>
        <v>200</v>
      </c>
      <c r="D9" s="115">
        <f t="shared" si="0"/>
        <v>250</v>
      </c>
      <c r="E9" s="116">
        <f>SUM(B9:D9)</f>
        <v>451</v>
      </c>
      <c r="F9" s="115">
        <f>D19</f>
        <v>335</v>
      </c>
      <c r="G9" s="115">
        <f t="shared" si="1"/>
        <v>193</v>
      </c>
      <c r="H9" s="115">
        <f t="shared" si="1"/>
        <v>205</v>
      </c>
      <c r="I9" s="116">
        <f>SUM(F9:H9)</f>
        <v>733</v>
      </c>
      <c r="J9" s="115">
        <f>H19</f>
        <v>195</v>
      </c>
      <c r="K9" s="115">
        <f t="shared" si="2"/>
        <v>202.5</v>
      </c>
      <c r="L9" s="115">
        <f t="shared" si="2"/>
        <v>190</v>
      </c>
      <c r="M9" s="116">
        <f>SUM(J9:L9)</f>
        <v>587.5</v>
      </c>
      <c r="N9" s="115">
        <f>L19</f>
        <v>157.5</v>
      </c>
      <c r="O9" s="115">
        <f t="shared" si="3"/>
        <v>144.5</v>
      </c>
      <c r="P9" s="115">
        <f t="shared" si="3"/>
        <v>106</v>
      </c>
      <c r="Q9" s="116">
        <f>SUM(N9:P9)</f>
        <v>408</v>
      </c>
      <c r="R9" s="124">
        <f>SUM(E9+I9+M9+Q9)</f>
        <v>2179.5</v>
      </c>
      <c r="T9" s="96"/>
      <c r="U9" s="95" t="s">
        <v>82</v>
      </c>
      <c r="V9" s="95">
        <v>0</v>
      </c>
      <c r="W9" s="95">
        <v>8</v>
      </c>
      <c r="X9" s="95">
        <v>0</v>
      </c>
      <c r="Y9" s="131">
        <v>0</v>
      </c>
    </row>
    <row r="10" spans="1:25">
      <c r="A10" s="93" t="s">
        <v>33</v>
      </c>
      <c r="B10" s="115">
        <v>0</v>
      </c>
      <c r="C10" s="115">
        <f t="shared" si="0"/>
        <v>32</v>
      </c>
      <c r="D10" s="115">
        <f t="shared" si="0"/>
        <v>39</v>
      </c>
      <c r="E10" s="116">
        <f>SUM(B10:D10)</f>
        <v>71</v>
      </c>
      <c r="F10" s="115">
        <f>D20</f>
        <v>53</v>
      </c>
      <c r="G10" s="115">
        <f t="shared" si="1"/>
        <v>12.4</v>
      </c>
      <c r="H10" s="115">
        <f t="shared" si="1"/>
        <v>198</v>
      </c>
      <c r="I10" s="116">
        <f>SUM(F10:H10)</f>
        <v>263.39999999999998</v>
      </c>
      <c r="J10" s="115">
        <f>H20</f>
        <v>186</v>
      </c>
      <c r="K10" s="115">
        <f t="shared" si="2"/>
        <v>192</v>
      </c>
      <c r="L10" s="115">
        <f t="shared" si="2"/>
        <v>180</v>
      </c>
      <c r="M10" s="116">
        <f>SUM(J10:L10)</f>
        <v>558</v>
      </c>
      <c r="N10" s="115">
        <f>L20</f>
        <v>100</v>
      </c>
      <c r="O10" s="115">
        <f t="shared" si="3"/>
        <v>92</v>
      </c>
      <c r="P10" s="115">
        <f t="shared" si="3"/>
        <v>50</v>
      </c>
      <c r="Q10" s="116">
        <f>SUM(N10:P10)</f>
        <v>242</v>
      </c>
      <c r="R10" s="124">
        <f>SUM(E10+I10+M10+Q10)</f>
        <v>1134.4000000000001</v>
      </c>
      <c r="T10" s="96"/>
      <c r="U10" s="95" t="s">
        <v>83</v>
      </c>
      <c r="V10" s="95">
        <v>0</v>
      </c>
      <c r="W10" s="95">
        <v>0</v>
      </c>
      <c r="X10" s="95">
        <v>1</v>
      </c>
      <c r="Y10" s="95">
        <v>0</v>
      </c>
    </row>
    <row r="11" spans="1:25">
      <c r="A11" s="92" t="s">
        <v>84</v>
      </c>
      <c r="B11" s="115"/>
      <c r="C11" s="115"/>
      <c r="D11" s="115"/>
      <c r="E11" s="116"/>
      <c r="F11" s="115"/>
      <c r="G11" s="115"/>
      <c r="H11" s="115"/>
      <c r="I11" s="116"/>
      <c r="J11" s="115"/>
      <c r="K11" s="115"/>
      <c r="L11" s="115"/>
      <c r="M11" s="116"/>
      <c r="N11" s="115"/>
      <c r="O11" s="115"/>
      <c r="P11" s="115"/>
      <c r="Q11" s="116"/>
      <c r="R11" s="124"/>
      <c r="T11" s="130"/>
      <c r="U11" s="95"/>
      <c r="V11" s="95"/>
      <c r="W11" s="95"/>
      <c r="X11" s="95"/>
      <c r="Y11" s="95"/>
    </row>
    <row r="12" spans="1:25">
      <c r="A12" s="93" t="s">
        <v>30</v>
      </c>
      <c r="B12" s="117">
        <f>'BUDGET COMMERCIALE'!B5+'BUDGET COMMERCIALE'!B10</f>
        <v>9800</v>
      </c>
      <c r="C12" s="117">
        <f>'BUDGET COMMERCIALE'!C5+'BUDGET COMMERCIALE'!C10</f>
        <v>9500</v>
      </c>
      <c r="D12" s="117">
        <f>'BUDGET COMMERCIALE'!D5+'BUDGET COMMERCIALE'!D10</f>
        <v>10400</v>
      </c>
      <c r="E12" s="118">
        <f>SUM('BUDGET PRODUZIONE'!B12:D12)</f>
        <v>29700</v>
      </c>
      <c r="F12" s="119">
        <f>'BUDGET COMMERCIALE'!F5+'BUDGET COMMERCIALE'!F10</f>
        <v>10750</v>
      </c>
      <c r="G12" s="119">
        <f>'BUDGET COMMERCIALE'!G5+'BUDGET COMMERCIALE'!G10</f>
        <v>11700</v>
      </c>
      <c r="H12" s="119">
        <f>'BUDGET COMMERCIALE'!H5+'BUDGET COMMERCIALE'!H10</f>
        <v>12430</v>
      </c>
      <c r="I12" s="120">
        <f>SUM(F12:H12)</f>
        <v>34880</v>
      </c>
      <c r="J12" s="119">
        <f>'BUDGET COMMERCIALE'!J5+'BUDGET COMMERCIALE'!J10</f>
        <v>12660</v>
      </c>
      <c r="K12" s="119">
        <f>'BUDGET COMMERCIALE'!K5+'BUDGET COMMERCIALE'!K10</f>
        <v>12130</v>
      </c>
      <c r="L12" s="119">
        <f>'BUDGET COMMERCIALE'!L5+'BUDGET COMMERCIALE'!L10</f>
        <v>11620</v>
      </c>
      <c r="M12" s="120">
        <f>SUM(J12:L12)</f>
        <v>36410</v>
      </c>
      <c r="N12" s="119">
        <f>'BUDGET COMMERCIALE'!N5+'BUDGET COMMERCIALE'!N10</f>
        <v>10840</v>
      </c>
      <c r="O12" s="119">
        <f>'BUDGET COMMERCIALE'!O5+'BUDGET COMMERCIALE'!O10</f>
        <v>9730</v>
      </c>
      <c r="P12" s="119">
        <f>'BUDGET COMMERCIALE'!P5+'BUDGET COMMERCIALE'!P10</f>
        <v>8860</v>
      </c>
      <c r="Q12" s="120">
        <f>SUM(N12:P12)</f>
        <v>29430</v>
      </c>
      <c r="R12" s="126">
        <f>SUM(E12+I12+M12+Q12)</f>
        <v>130420</v>
      </c>
      <c r="T12" s="96"/>
      <c r="U12" s="131"/>
      <c r="V12" s="95"/>
      <c r="W12" s="95"/>
      <c r="X12" s="95"/>
      <c r="Y12" s="95"/>
    </row>
    <row r="13" spans="1:25">
      <c r="A13" s="93" t="s">
        <v>31</v>
      </c>
      <c r="B13" s="117">
        <f>'BUDGET COMMERCIALE'!B6+'BUDGET COMMERCIALE'!B11</f>
        <v>7300</v>
      </c>
      <c r="C13" s="117">
        <f>'BUDGET COMMERCIALE'!C6+'BUDGET COMMERCIALE'!C11</f>
        <v>6900</v>
      </c>
      <c r="D13" s="117">
        <f>'BUDGET COMMERCIALE'!D6+'BUDGET COMMERCIALE'!D11</f>
        <v>7800</v>
      </c>
      <c r="E13" s="118">
        <f>SUM(B13:D13)</f>
        <v>22000</v>
      </c>
      <c r="F13" s="119">
        <f>'BUDGET COMMERCIALE'!F6+'BUDGET COMMERCIALE'!F11</f>
        <v>7770</v>
      </c>
      <c r="G13" s="119">
        <f>'BUDGET COMMERCIALE'!G6+'BUDGET COMMERCIALE'!G11</f>
        <v>8450</v>
      </c>
      <c r="H13" s="119">
        <f>'BUDGET COMMERCIALE'!H6+'BUDGET COMMERCIALE'!H11</f>
        <v>9290</v>
      </c>
      <c r="I13" s="120">
        <f>SUM(F13:H13)</f>
        <v>25510</v>
      </c>
      <c r="J13" s="119">
        <f>'BUDGET COMMERCIALE'!J6+'BUDGET COMMERCIALE'!J11</f>
        <v>9450</v>
      </c>
      <c r="K13" s="119">
        <f>'BUDGET COMMERCIALE'!K6+'BUDGET COMMERCIALE'!K11</f>
        <v>9100</v>
      </c>
      <c r="L13" s="119">
        <f>'BUDGET COMMERCIALE'!L6+'BUDGET COMMERCIALE'!L11</f>
        <v>8600</v>
      </c>
      <c r="M13" s="120">
        <f>SUM(J13:L13)</f>
        <v>27150</v>
      </c>
      <c r="N13" s="119">
        <f>'BUDGET COMMERCIALE'!N6+'BUDGET COMMERCIALE'!N11</f>
        <v>8210</v>
      </c>
      <c r="O13" s="119">
        <f>'BUDGET COMMERCIALE'!O6+'BUDGET COMMERCIALE'!O11</f>
        <v>7640</v>
      </c>
      <c r="P13" s="119">
        <f>'BUDGET COMMERCIALE'!P6+'BUDGET COMMERCIALE'!P11</f>
        <v>6940</v>
      </c>
      <c r="Q13" s="120">
        <f>SUM(N13:P13)</f>
        <v>22790</v>
      </c>
      <c r="R13" s="126">
        <f>SUM(E13+I13+M13+Q13)</f>
        <v>97450</v>
      </c>
      <c r="T13" s="96" t="s">
        <v>85</v>
      </c>
      <c r="U13" s="95" t="s">
        <v>76</v>
      </c>
      <c r="V13" s="95">
        <v>0.08</v>
      </c>
      <c r="W13" s="95">
        <v>0.33</v>
      </c>
      <c r="X13" s="95">
        <v>0.08</v>
      </c>
      <c r="Y13" s="95">
        <v>0.12</v>
      </c>
    </row>
    <row r="14" spans="1:25">
      <c r="A14" s="93" t="s">
        <v>81</v>
      </c>
      <c r="B14" s="117">
        <f>'BUDGET COMMERCIALE'!B7</f>
        <v>2000</v>
      </c>
      <c r="C14" s="117">
        <f>'BUDGET COMMERCIALE'!C7</f>
        <v>2000</v>
      </c>
      <c r="D14" s="117">
        <f>'BUDGET COMMERCIALE'!D7</f>
        <v>2500</v>
      </c>
      <c r="E14" s="118">
        <f>SUM(B14:D14)</f>
        <v>6500</v>
      </c>
      <c r="F14" s="119">
        <f>'BUDGET COMMERCIALE'!F7</f>
        <v>3350</v>
      </c>
      <c r="G14" s="119">
        <f>'BUDGET COMMERCIALE'!G7</f>
        <v>3860</v>
      </c>
      <c r="H14" s="119">
        <f>'BUDGET COMMERCIALE'!H7</f>
        <v>4100</v>
      </c>
      <c r="I14" s="120">
        <f>SUM(F14:H14)</f>
        <v>11310</v>
      </c>
      <c r="J14" s="119">
        <f>'BUDGET COMMERCIALE'!J7</f>
        <v>3900</v>
      </c>
      <c r="K14" s="119">
        <f>'BUDGET COMMERCIALE'!K7</f>
        <v>4050</v>
      </c>
      <c r="L14" s="119">
        <f>'BUDGET COMMERCIALE'!L7</f>
        <v>3800</v>
      </c>
      <c r="M14" s="120">
        <f>SUM(J14:L14)</f>
        <v>11750</v>
      </c>
      <c r="N14" s="119">
        <f>'BUDGET COMMERCIALE'!N7</f>
        <v>3150</v>
      </c>
      <c r="O14" s="119">
        <f>'BUDGET COMMERCIALE'!O7</f>
        <v>2890</v>
      </c>
      <c r="P14" s="119">
        <f>'BUDGET COMMERCIALE'!P7</f>
        <v>2120</v>
      </c>
      <c r="Q14" s="120">
        <f>SUM(N14:P14)</f>
        <v>8160</v>
      </c>
      <c r="R14" s="126">
        <f>SUM(E14+I14+M14+Q14)</f>
        <v>37720</v>
      </c>
      <c r="T14" s="96"/>
      <c r="U14" s="95" t="s">
        <v>78</v>
      </c>
      <c r="V14" s="95">
        <v>0.08</v>
      </c>
      <c r="W14" s="95">
        <v>0.33</v>
      </c>
      <c r="X14" s="95">
        <v>0.01</v>
      </c>
      <c r="Y14" s="95">
        <v>0.08</v>
      </c>
    </row>
    <row r="15" spans="1:25">
      <c r="A15" s="93" t="s">
        <v>33</v>
      </c>
      <c r="B15" s="115">
        <f>'BUDGET COMMERCIALE'!B8</f>
        <v>640</v>
      </c>
      <c r="C15" s="115">
        <f>'BUDGET COMMERCIALE'!C8</f>
        <v>640</v>
      </c>
      <c r="D15" s="115">
        <f>'BUDGET COMMERCIALE'!D8</f>
        <v>780</v>
      </c>
      <c r="E15" s="116">
        <f>SUM(B15:D15)</f>
        <v>2060</v>
      </c>
      <c r="F15" s="119">
        <f>'BUDGET COMMERCIALE'!F8</f>
        <v>1060</v>
      </c>
      <c r="G15" s="119">
        <f>'BUDGET COMMERCIALE'!G8</f>
        <v>1240</v>
      </c>
      <c r="H15" s="119">
        <f>'BUDGET COMMERCIALE'!H8</f>
        <v>1320</v>
      </c>
      <c r="I15" s="120">
        <f>SUM(F15:H15)</f>
        <v>3620</v>
      </c>
      <c r="J15" s="119">
        <f>'BUDGET COMMERCIALE'!J8</f>
        <v>1240</v>
      </c>
      <c r="K15" s="119">
        <f>'BUDGET COMMERCIALE'!K8</f>
        <v>1280</v>
      </c>
      <c r="L15" s="119">
        <f>'BUDGET COMMERCIALE'!L8</f>
        <v>1200</v>
      </c>
      <c r="M15" s="120">
        <f>SUM(J15:L15)</f>
        <v>3720</v>
      </c>
      <c r="N15" s="119">
        <f>'BUDGET COMMERCIALE'!N8</f>
        <v>1000</v>
      </c>
      <c r="O15" s="119">
        <f>'BUDGET COMMERCIALE'!O8</f>
        <v>920</v>
      </c>
      <c r="P15" s="119">
        <f>'BUDGET COMMERCIALE'!P8</f>
        <v>1000</v>
      </c>
      <c r="Q15" s="120">
        <f>SUM(N15:P15)</f>
        <v>2920</v>
      </c>
      <c r="R15" s="126">
        <f>SUM(E15+I15+M15+Q15)</f>
        <v>12320</v>
      </c>
      <c r="T15" s="96"/>
      <c r="U15" s="95" t="s">
        <v>79</v>
      </c>
      <c r="V15" s="95">
        <v>0.01</v>
      </c>
      <c r="W15" s="95">
        <v>0</v>
      </c>
      <c r="X15" s="95">
        <v>0</v>
      </c>
      <c r="Y15" s="95">
        <v>0</v>
      </c>
    </row>
    <row r="16" spans="1:25">
      <c r="A16" s="92" t="s">
        <v>86</v>
      </c>
      <c r="B16" s="115"/>
      <c r="C16" s="115"/>
      <c r="D16" s="115"/>
      <c r="E16" s="116"/>
      <c r="F16" s="115"/>
      <c r="G16" s="115"/>
      <c r="H16" s="115"/>
      <c r="I16" s="116"/>
      <c r="J16" s="115"/>
      <c r="K16" s="115"/>
      <c r="L16" s="115"/>
      <c r="M16" s="116"/>
      <c r="N16" s="115"/>
      <c r="O16" s="115"/>
      <c r="P16" s="115"/>
      <c r="Q16" s="116"/>
      <c r="R16" s="124"/>
      <c r="T16" s="96"/>
      <c r="U16" s="95" t="s">
        <v>80</v>
      </c>
      <c r="V16" s="95">
        <v>0.25</v>
      </c>
      <c r="W16" s="95">
        <v>0</v>
      </c>
      <c r="X16" s="95">
        <v>0</v>
      </c>
      <c r="Y16" s="95">
        <v>0</v>
      </c>
    </row>
    <row r="17" spans="1:25">
      <c r="A17" s="93" t="s">
        <v>30</v>
      </c>
      <c r="B17" s="115">
        <f>C12*0.1</f>
        <v>950</v>
      </c>
      <c r="C17" s="115">
        <f>D12*0.1</f>
        <v>1040</v>
      </c>
      <c r="D17" s="115">
        <f>F12*0.1</f>
        <v>1075</v>
      </c>
      <c r="E17" s="116">
        <f>SUM(B17:D17)</f>
        <v>3065</v>
      </c>
      <c r="F17" s="115">
        <f>G12*0.1</f>
        <v>1170</v>
      </c>
      <c r="G17" s="115">
        <f>H12*0.15</f>
        <v>1864.5</v>
      </c>
      <c r="H17" s="115">
        <f>J12*0.15</f>
        <v>1899</v>
      </c>
      <c r="I17" s="116">
        <f>SUM(F17:H17)</f>
        <v>4933.5</v>
      </c>
      <c r="J17" s="115">
        <f>K12*0.15</f>
        <v>1819.5</v>
      </c>
      <c r="K17" s="115">
        <f>L12*0.15</f>
        <v>1743</v>
      </c>
      <c r="L17" s="115">
        <f>N12*0.15</f>
        <v>1626</v>
      </c>
      <c r="M17" s="116">
        <f>SUM(J17:L17)</f>
        <v>5188.5</v>
      </c>
      <c r="N17" s="117">
        <f>O12*0.15</f>
        <v>1459.5</v>
      </c>
      <c r="O17" s="115">
        <f>P12*0.1</f>
        <v>886</v>
      </c>
      <c r="P17" s="115">
        <f>B12*0.1</f>
        <v>980</v>
      </c>
      <c r="Q17" s="118">
        <f>SUM(N17:P17)</f>
        <v>3325.5</v>
      </c>
      <c r="R17" s="125">
        <f>SUM(E17+I17+M17+Q17)</f>
        <v>16512.5</v>
      </c>
      <c r="T17" s="96"/>
      <c r="U17" s="95" t="s">
        <v>82</v>
      </c>
      <c r="V17" s="95">
        <v>0</v>
      </c>
      <c r="W17" s="95">
        <v>7</v>
      </c>
      <c r="X17" s="95">
        <v>0</v>
      </c>
      <c r="Y17" s="95">
        <v>0</v>
      </c>
    </row>
    <row r="18" spans="1:25">
      <c r="A18" s="93" t="s">
        <v>31</v>
      </c>
      <c r="B18" s="115">
        <f>C13*0.05</f>
        <v>345</v>
      </c>
      <c r="C18" s="115">
        <f>D13*0.05</f>
        <v>390</v>
      </c>
      <c r="D18" s="115">
        <f>F13*0.1</f>
        <v>777</v>
      </c>
      <c r="E18" s="116">
        <f>SUM(B18:D18)</f>
        <v>1512</v>
      </c>
      <c r="F18" s="115">
        <f>G13*0.2</f>
        <v>1690</v>
      </c>
      <c r="G18" s="115">
        <f>H13*0.2</f>
        <v>1858</v>
      </c>
      <c r="H18" s="115">
        <f>J13*0.2</f>
        <v>1890</v>
      </c>
      <c r="I18" s="116">
        <f>SUM(F18:H18)</f>
        <v>5438</v>
      </c>
      <c r="J18" s="115">
        <f>K13*0.2</f>
        <v>1820</v>
      </c>
      <c r="K18" s="115">
        <f>L13*0.1</f>
        <v>860</v>
      </c>
      <c r="L18" s="115">
        <f>N13*0.1</f>
        <v>821</v>
      </c>
      <c r="M18" s="116">
        <f>SUM(J18:L18)</f>
        <v>3501</v>
      </c>
      <c r="N18" s="115">
        <f>O13*0.05</f>
        <v>382</v>
      </c>
      <c r="O18" s="115">
        <f>P13*0.05</f>
        <v>347</v>
      </c>
      <c r="P18" s="115">
        <f>B13*0.05</f>
        <v>365</v>
      </c>
      <c r="Q18" s="116">
        <f>SUM(N18:P18)</f>
        <v>1094</v>
      </c>
      <c r="R18" s="124">
        <f>SUM(E18+I18+M18+Q18)</f>
        <v>11545</v>
      </c>
      <c r="T18" s="96"/>
      <c r="U18" s="131" t="s">
        <v>83</v>
      </c>
      <c r="V18" s="95">
        <v>0</v>
      </c>
      <c r="W18" s="95">
        <v>0</v>
      </c>
      <c r="X18" s="95">
        <v>1</v>
      </c>
      <c r="Y18" s="95">
        <v>0</v>
      </c>
    </row>
    <row r="19" spans="1:25">
      <c r="A19" s="93" t="s">
        <v>81</v>
      </c>
      <c r="B19" s="115">
        <f>C14*0.1</f>
        <v>200</v>
      </c>
      <c r="C19" s="115">
        <f>D14*0.1</f>
        <v>250</v>
      </c>
      <c r="D19" s="115">
        <f>F14*0.1</f>
        <v>335</v>
      </c>
      <c r="E19" s="116">
        <f>SUM(B19:D19)</f>
        <v>785</v>
      </c>
      <c r="F19" s="115">
        <f>G14*0.05</f>
        <v>193</v>
      </c>
      <c r="G19" s="115">
        <f>H14*0.05</f>
        <v>205</v>
      </c>
      <c r="H19" s="115">
        <f>J14*0.05</f>
        <v>195</v>
      </c>
      <c r="I19" s="116">
        <f>SUM(F19:H19)</f>
        <v>593</v>
      </c>
      <c r="J19" s="115">
        <f>K14*0.05</f>
        <v>202.5</v>
      </c>
      <c r="K19" s="115">
        <f>L14*0.05</f>
        <v>190</v>
      </c>
      <c r="L19" s="115">
        <f>N14*0.05</f>
        <v>157.5</v>
      </c>
      <c r="M19" s="116">
        <f>SUM(J19:L19)</f>
        <v>550</v>
      </c>
      <c r="N19" s="115">
        <f>O14*0.05</f>
        <v>144.5</v>
      </c>
      <c r="O19" s="115">
        <f>P14*0.05</f>
        <v>106</v>
      </c>
      <c r="P19" s="115">
        <f>B14*0.05</f>
        <v>100</v>
      </c>
      <c r="Q19" s="116">
        <f>SUM(N19:P19)</f>
        <v>350.5</v>
      </c>
      <c r="R19" s="124">
        <f>SUM(E19+I19+M19+Q19)</f>
        <v>2278.5</v>
      </c>
      <c r="T19" s="96"/>
      <c r="U19" s="133"/>
      <c r="V19" s="95"/>
      <c r="W19" s="95"/>
      <c r="X19" s="95"/>
      <c r="Y19" s="95"/>
    </row>
    <row r="20" spans="1:25">
      <c r="A20" s="93" t="s">
        <v>33</v>
      </c>
      <c r="B20" s="115">
        <f>C15*0.05</f>
        <v>32</v>
      </c>
      <c r="C20" s="115">
        <f>D15*0.05</f>
        <v>39</v>
      </c>
      <c r="D20" s="115">
        <f>F15*0.05</f>
        <v>53</v>
      </c>
      <c r="E20" s="116">
        <f>SUM(B20:D20)</f>
        <v>124</v>
      </c>
      <c r="F20" s="115">
        <f>G15*0.01</f>
        <v>12.4</v>
      </c>
      <c r="G20" s="115">
        <f>H15*0.15</f>
        <v>198</v>
      </c>
      <c r="H20" s="115">
        <f>J15*0.15</f>
        <v>186</v>
      </c>
      <c r="I20" s="116">
        <f>SUM(F20:H20)</f>
        <v>396.4</v>
      </c>
      <c r="J20" s="115">
        <f>K15*0.15</f>
        <v>192</v>
      </c>
      <c r="K20" s="115">
        <f>L15*0.15</f>
        <v>180</v>
      </c>
      <c r="L20" s="115">
        <f>N15*0.1</f>
        <v>100</v>
      </c>
      <c r="M20" s="116">
        <f>SUM(J20:L20)</f>
        <v>472</v>
      </c>
      <c r="N20" s="115">
        <f>O15*0.1</f>
        <v>92</v>
      </c>
      <c r="O20" s="115">
        <f>P15*0.05</f>
        <v>50</v>
      </c>
      <c r="P20" s="115">
        <f>B15*0.05</f>
        <v>32</v>
      </c>
      <c r="Q20" s="116">
        <f>SUM(N20:P20)</f>
        <v>174</v>
      </c>
      <c r="R20" s="124">
        <f>SUM(E20+I20+M20+Q20)</f>
        <v>1166.4000000000001</v>
      </c>
      <c r="T20" s="96"/>
      <c r="U20" s="95"/>
      <c r="V20" s="95"/>
      <c r="W20" s="95"/>
      <c r="X20" s="95"/>
      <c r="Y20" s="95"/>
    </row>
    <row r="21" spans="1:25">
      <c r="A21" s="92" t="s">
        <v>87</v>
      </c>
      <c r="B21" s="115"/>
      <c r="C21" s="115"/>
      <c r="D21" s="115"/>
      <c r="E21" s="116"/>
      <c r="F21" s="115"/>
      <c r="G21" s="115"/>
      <c r="H21" s="115"/>
      <c r="I21" s="116"/>
      <c r="J21" s="115"/>
      <c r="K21" s="115"/>
      <c r="L21" s="115"/>
      <c r="M21" s="116"/>
      <c r="N21" s="115"/>
      <c r="O21" s="115"/>
      <c r="P21" s="115"/>
      <c r="Q21" s="116"/>
      <c r="R21" s="124"/>
      <c r="T21" s="96" t="s">
        <v>88</v>
      </c>
      <c r="U21" s="95" t="s">
        <v>76</v>
      </c>
      <c r="V21" s="95">
        <v>0.08</v>
      </c>
      <c r="W21" s="95">
        <v>0.41</v>
      </c>
      <c r="X21" s="95">
        <v>0.05</v>
      </c>
      <c r="Y21" s="95">
        <v>0.12</v>
      </c>
    </row>
    <row r="22" spans="1:25">
      <c r="A22" s="93" t="s">
        <v>30</v>
      </c>
      <c r="B22" s="117">
        <f t="shared" ref="B22:R22" si="4">SUM(B17)</f>
        <v>950</v>
      </c>
      <c r="C22" s="117">
        <f t="shared" si="4"/>
        <v>1040</v>
      </c>
      <c r="D22" s="119">
        <f t="shared" si="4"/>
        <v>1075</v>
      </c>
      <c r="E22" s="120">
        <f t="shared" si="4"/>
        <v>3065</v>
      </c>
      <c r="F22" s="115">
        <f t="shared" si="4"/>
        <v>1170</v>
      </c>
      <c r="G22" s="115">
        <f t="shared" si="4"/>
        <v>1864.5</v>
      </c>
      <c r="H22" s="115">
        <f t="shared" si="4"/>
        <v>1899</v>
      </c>
      <c r="I22" s="116">
        <f t="shared" si="4"/>
        <v>4933.5</v>
      </c>
      <c r="J22" s="115">
        <f t="shared" si="4"/>
        <v>1819.5</v>
      </c>
      <c r="K22" s="115">
        <f t="shared" si="4"/>
        <v>1743</v>
      </c>
      <c r="L22" s="115">
        <f t="shared" si="4"/>
        <v>1626</v>
      </c>
      <c r="M22" s="116">
        <f t="shared" si="4"/>
        <v>5188.5</v>
      </c>
      <c r="N22" s="117">
        <f t="shared" si="4"/>
        <v>1459.5</v>
      </c>
      <c r="O22" s="115">
        <f t="shared" si="4"/>
        <v>886</v>
      </c>
      <c r="P22" s="115">
        <f t="shared" si="4"/>
        <v>980</v>
      </c>
      <c r="Q22" s="118">
        <f t="shared" si="4"/>
        <v>3325.5</v>
      </c>
      <c r="R22" s="125">
        <f t="shared" si="4"/>
        <v>16512.5</v>
      </c>
      <c r="T22" s="96"/>
      <c r="U22" s="95" t="s">
        <v>78</v>
      </c>
      <c r="V22" s="95">
        <v>0.08</v>
      </c>
      <c r="W22" s="95">
        <v>0.41</v>
      </c>
      <c r="X22" s="95">
        <v>0.01</v>
      </c>
      <c r="Y22" s="95">
        <v>0.08</v>
      </c>
    </row>
    <row r="23" spans="1:25">
      <c r="A23" s="93" t="s">
        <v>31</v>
      </c>
      <c r="B23" s="117">
        <f t="shared" ref="B23:R23" si="5">SUM(B18)</f>
        <v>345</v>
      </c>
      <c r="C23" s="117">
        <f t="shared" si="5"/>
        <v>390</v>
      </c>
      <c r="D23" s="119">
        <f t="shared" si="5"/>
        <v>777</v>
      </c>
      <c r="E23" s="120">
        <f t="shared" si="5"/>
        <v>1512</v>
      </c>
      <c r="F23" s="115">
        <f t="shared" si="5"/>
        <v>1690</v>
      </c>
      <c r="G23" s="115">
        <f t="shared" si="5"/>
        <v>1858</v>
      </c>
      <c r="H23" s="115">
        <f t="shared" si="5"/>
        <v>1890</v>
      </c>
      <c r="I23" s="116">
        <f t="shared" si="5"/>
        <v>5438</v>
      </c>
      <c r="J23" s="115">
        <f t="shared" si="5"/>
        <v>1820</v>
      </c>
      <c r="K23" s="115">
        <f t="shared" si="5"/>
        <v>860</v>
      </c>
      <c r="L23" s="115">
        <f t="shared" si="5"/>
        <v>821</v>
      </c>
      <c r="M23" s="116">
        <f t="shared" si="5"/>
        <v>3501</v>
      </c>
      <c r="N23" s="115">
        <f t="shared" si="5"/>
        <v>382</v>
      </c>
      <c r="O23" s="115">
        <f t="shared" si="5"/>
        <v>347</v>
      </c>
      <c r="P23" s="115">
        <f t="shared" si="5"/>
        <v>365</v>
      </c>
      <c r="Q23" s="116">
        <f t="shared" si="5"/>
        <v>1094</v>
      </c>
      <c r="R23" s="124">
        <f t="shared" si="5"/>
        <v>11545</v>
      </c>
      <c r="T23" s="96"/>
      <c r="U23" s="95" t="s">
        <v>79</v>
      </c>
      <c r="V23" s="95">
        <v>0.01</v>
      </c>
      <c r="W23" s="95">
        <v>0</v>
      </c>
      <c r="X23" s="95">
        <v>0</v>
      </c>
      <c r="Y23" s="95">
        <v>0</v>
      </c>
    </row>
    <row r="24" spans="1:25">
      <c r="A24" s="93" t="s">
        <v>81</v>
      </c>
      <c r="B24" s="117">
        <f t="shared" ref="B24:R24" si="6">SUM(B19)</f>
        <v>200</v>
      </c>
      <c r="C24" s="115">
        <f t="shared" si="6"/>
        <v>250</v>
      </c>
      <c r="D24" s="115">
        <f>SUM(D19)</f>
        <v>335</v>
      </c>
      <c r="E24" s="116">
        <f t="shared" si="6"/>
        <v>785</v>
      </c>
      <c r="F24" s="115">
        <f t="shared" si="6"/>
        <v>193</v>
      </c>
      <c r="G24" s="115">
        <f t="shared" si="6"/>
        <v>205</v>
      </c>
      <c r="H24" s="115">
        <f t="shared" si="6"/>
        <v>195</v>
      </c>
      <c r="I24" s="116">
        <f t="shared" si="6"/>
        <v>593</v>
      </c>
      <c r="J24" s="115">
        <f t="shared" si="6"/>
        <v>202.5</v>
      </c>
      <c r="K24" s="115">
        <f t="shared" si="6"/>
        <v>190</v>
      </c>
      <c r="L24" s="115">
        <f t="shared" si="6"/>
        <v>157.5</v>
      </c>
      <c r="M24" s="116">
        <f t="shared" si="6"/>
        <v>550</v>
      </c>
      <c r="N24" s="115">
        <f t="shared" si="6"/>
        <v>144.5</v>
      </c>
      <c r="O24" s="115">
        <f t="shared" si="6"/>
        <v>106</v>
      </c>
      <c r="P24" s="115">
        <f t="shared" si="6"/>
        <v>100</v>
      </c>
      <c r="Q24" s="116">
        <f t="shared" si="6"/>
        <v>350.5</v>
      </c>
      <c r="R24" s="124">
        <f t="shared" si="6"/>
        <v>2278.5</v>
      </c>
      <c r="T24" s="96"/>
      <c r="U24" s="95" t="s">
        <v>80</v>
      </c>
      <c r="V24" s="95">
        <v>0.2</v>
      </c>
      <c r="W24" s="95">
        <v>0</v>
      </c>
      <c r="X24" s="95">
        <v>0</v>
      </c>
      <c r="Y24" s="95">
        <v>0</v>
      </c>
    </row>
    <row r="25" spans="1:25">
      <c r="A25" s="93" t="s">
        <v>33</v>
      </c>
      <c r="B25" s="115">
        <f t="shared" ref="B25:R25" si="7">SUM(B20)</f>
        <v>32</v>
      </c>
      <c r="C25" s="115">
        <f t="shared" si="7"/>
        <v>39</v>
      </c>
      <c r="D25" s="115">
        <f t="shared" si="7"/>
        <v>53</v>
      </c>
      <c r="E25" s="116">
        <f t="shared" si="7"/>
        <v>124</v>
      </c>
      <c r="F25" s="115">
        <f t="shared" si="7"/>
        <v>12.4</v>
      </c>
      <c r="G25" s="115">
        <f t="shared" si="7"/>
        <v>198</v>
      </c>
      <c r="H25" s="115">
        <f t="shared" si="7"/>
        <v>186</v>
      </c>
      <c r="I25" s="116">
        <f t="shared" si="7"/>
        <v>396.4</v>
      </c>
      <c r="J25" s="115">
        <f t="shared" si="7"/>
        <v>192</v>
      </c>
      <c r="K25" s="115">
        <f t="shared" si="7"/>
        <v>180</v>
      </c>
      <c r="L25" s="115">
        <f t="shared" si="7"/>
        <v>100</v>
      </c>
      <c r="M25" s="116">
        <f t="shared" si="7"/>
        <v>472</v>
      </c>
      <c r="N25" s="115">
        <f t="shared" si="7"/>
        <v>92</v>
      </c>
      <c r="O25" s="115">
        <f t="shared" si="7"/>
        <v>50</v>
      </c>
      <c r="P25" s="115">
        <f t="shared" si="7"/>
        <v>32</v>
      </c>
      <c r="Q25" s="116">
        <f t="shared" si="7"/>
        <v>174</v>
      </c>
      <c r="R25" s="124">
        <f t="shared" si="7"/>
        <v>1166.4000000000001</v>
      </c>
      <c r="T25" s="96"/>
      <c r="U25" s="95" t="s">
        <v>89</v>
      </c>
      <c r="V25" s="95"/>
      <c r="W25" s="95"/>
      <c r="X25" s="95"/>
      <c r="Y25" s="95">
        <v>1</v>
      </c>
    </row>
    <row r="26" spans="1:25">
      <c r="A26" s="92" t="s">
        <v>90</v>
      </c>
      <c r="B26" s="115"/>
      <c r="C26" s="115"/>
      <c r="D26" s="115"/>
      <c r="E26" s="116"/>
      <c r="F26" s="115"/>
      <c r="G26" s="115"/>
      <c r="H26" s="115"/>
      <c r="I26" s="116"/>
      <c r="J26" s="119"/>
      <c r="K26" s="119"/>
      <c r="L26" s="119"/>
      <c r="M26" s="120"/>
      <c r="N26" s="119"/>
      <c r="O26" s="119"/>
      <c r="P26" s="119"/>
      <c r="Q26" s="120"/>
      <c r="R26" s="99"/>
      <c r="T26" s="96"/>
      <c r="U26" s="131" t="s">
        <v>82</v>
      </c>
      <c r="V26" s="95">
        <v>0</v>
      </c>
      <c r="W26" s="95">
        <v>6</v>
      </c>
      <c r="X26" s="95">
        <v>0</v>
      </c>
      <c r="Y26" s="95">
        <v>0</v>
      </c>
    </row>
    <row r="27" spans="1:25">
      <c r="A27" s="93" t="s">
        <v>30</v>
      </c>
      <c r="B27" s="117">
        <f>B12+B17-B7</f>
        <v>10749</v>
      </c>
      <c r="C27" s="117">
        <f t="shared" ref="B27:I30" si="8">C12+C17-C7</f>
        <v>9590</v>
      </c>
      <c r="D27" s="117">
        <f t="shared" si="8"/>
        <v>10435</v>
      </c>
      <c r="E27" s="118">
        <f t="shared" si="8"/>
        <v>30774</v>
      </c>
      <c r="F27" s="119">
        <f t="shared" si="8"/>
        <v>10845</v>
      </c>
      <c r="G27" s="121">
        <f t="shared" si="8"/>
        <v>12394.5</v>
      </c>
      <c r="H27" s="121">
        <f t="shared" si="8"/>
        <v>12464.5</v>
      </c>
      <c r="I27" s="121">
        <f t="shared" si="8"/>
        <v>35704</v>
      </c>
      <c r="J27" s="121">
        <v>12580.5</v>
      </c>
      <c r="K27" s="121">
        <v>12053.5</v>
      </c>
      <c r="L27" s="121">
        <v>11503</v>
      </c>
      <c r="M27" s="121">
        <v>36137</v>
      </c>
      <c r="N27" s="119">
        <v>10673.5</v>
      </c>
      <c r="O27" s="119">
        <v>9156.5</v>
      </c>
      <c r="P27" s="119">
        <v>8954</v>
      </c>
      <c r="Q27" s="127">
        <f>SUM(N27:P27)</f>
        <v>28784</v>
      </c>
      <c r="R27" s="86">
        <f>Q27+M27+I27+E27</f>
        <v>131399</v>
      </c>
      <c r="T27" s="96"/>
      <c r="U27" s="95" t="s">
        <v>83</v>
      </c>
      <c r="V27" s="95">
        <v>0</v>
      </c>
      <c r="W27" s="95">
        <v>0</v>
      </c>
      <c r="X27" s="95">
        <v>1</v>
      </c>
      <c r="Y27" s="95">
        <v>0</v>
      </c>
    </row>
    <row r="28" spans="1:25">
      <c r="A28" s="93" t="s">
        <v>31</v>
      </c>
      <c r="B28" s="117">
        <f t="shared" si="8"/>
        <v>7644</v>
      </c>
      <c r="C28" s="117">
        <f t="shared" si="8"/>
        <v>6945</v>
      </c>
      <c r="D28" s="122">
        <f t="shared" si="8"/>
        <v>8187</v>
      </c>
      <c r="E28" s="118">
        <f t="shared" si="8"/>
        <v>22776</v>
      </c>
      <c r="F28" s="121">
        <f t="shared" si="8"/>
        <v>8683</v>
      </c>
      <c r="G28" s="119">
        <f t="shared" si="8"/>
        <v>8618</v>
      </c>
      <c r="H28" s="119">
        <f t="shared" si="8"/>
        <v>9322</v>
      </c>
      <c r="I28" s="120">
        <f t="shared" si="8"/>
        <v>26623</v>
      </c>
      <c r="J28" s="119">
        <v>3830</v>
      </c>
      <c r="K28" s="119">
        <v>8140</v>
      </c>
      <c r="L28" s="119">
        <v>8561</v>
      </c>
      <c r="M28" s="120">
        <v>20531</v>
      </c>
      <c r="N28" s="119">
        <v>7771</v>
      </c>
      <c r="O28" s="119">
        <v>7605</v>
      </c>
      <c r="P28" s="119">
        <v>6958</v>
      </c>
      <c r="Q28" s="120">
        <f>SUM(N28:P28)</f>
        <v>22334</v>
      </c>
      <c r="R28" s="86">
        <f>Q28+M28+I28+E28</f>
        <v>92264</v>
      </c>
      <c r="T28" s="96"/>
      <c r="U28" s="95"/>
      <c r="V28" s="95"/>
      <c r="W28" s="95"/>
      <c r="X28" s="95"/>
      <c r="Y28" s="95"/>
    </row>
    <row r="29" spans="1:25">
      <c r="A29" s="93" t="s">
        <v>81</v>
      </c>
      <c r="B29" s="117">
        <f t="shared" si="8"/>
        <v>2199</v>
      </c>
      <c r="C29" s="117">
        <f t="shared" si="8"/>
        <v>2050</v>
      </c>
      <c r="D29" s="122">
        <f t="shared" si="8"/>
        <v>2585</v>
      </c>
      <c r="E29" s="118">
        <f t="shared" si="8"/>
        <v>6834</v>
      </c>
      <c r="F29" s="121">
        <f t="shared" si="8"/>
        <v>3208</v>
      </c>
      <c r="G29" s="119">
        <f t="shared" si="8"/>
        <v>3872</v>
      </c>
      <c r="H29" s="119">
        <f t="shared" si="8"/>
        <v>4090</v>
      </c>
      <c r="I29" s="120">
        <f t="shared" si="8"/>
        <v>11170</v>
      </c>
      <c r="J29" s="119">
        <v>3907.5</v>
      </c>
      <c r="K29" s="119">
        <v>4037.5</v>
      </c>
      <c r="L29" s="119">
        <v>3925</v>
      </c>
      <c r="M29" s="120">
        <v>11870</v>
      </c>
      <c r="N29" s="119">
        <v>3124</v>
      </c>
      <c r="O29" s="119">
        <v>2813</v>
      </c>
      <c r="P29" s="119">
        <v>2008</v>
      </c>
      <c r="Q29" s="120">
        <f>SUM(N29:P29)</f>
        <v>7945</v>
      </c>
      <c r="R29" s="86">
        <f>Q29+M29+I29+E29</f>
        <v>37819</v>
      </c>
      <c r="T29" s="96"/>
      <c r="U29" s="95"/>
      <c r="V29" s="95"/>
      <c r="W29" s="95"/>
      <c r="X29" s="95"/>
      <c r="Y29" s="95"/>
    </row>
    <row r="30" spans="1:25">
      <c r="A30" s="93" t="s">
        <v>33</v>
      </c>
      <c r="B30" s="115">
        <f t="shared" si="8"/>
        <v>672</v>
      </c>
      <c r="C30" s="115">
        <f t="shared" si="8"/>
        <v>647</v>
      </c>
      <c r="D30" s="115">
        <f t="shared" si="8"/>
        <v>794</v>
      </c>
      <c r="E30" s="116">
        <f t="shared" si="8"/>
        <v>2113</v>
      </c>
      <c r="F30" s="119">
        <f t="shared" si="8"/>
        <v>1019.4000000000001</v>
      </c>
      <c r="G30" s="119">
        <f t="shared" si="8"/>
        <v>1425.6</v>
      </c>
      <c r="H30" s="119">
        <f t="shared" si="8"/>
        <v>1308</v>
      </c>
      <c r="I30" s="120">
        <f t="shared" si="8"/>
        <v>3753</v>
      </c>
      <c r="J30" s="115">
        <v>623</v>
      </c>
      <c r="K30" s="115">
        <v>634</v>
      </c>
      <c r="L30" s="115">
        <v>560</v>
      </c>
      <c r="M30" s="116">
        <f>SUM(J30:L30)</f>
        <v>1817</v>
      </c>
      <c r="N30" s="115">
        <v>496</v>
      </c>
      <c r="O30" s="115">
        <v>439</v>
      </c>
      <c r="P30" s="115">
        <v>491</v>
      </c>
      <c r="Q30" s="116">
        <f>SUM(N30:P30)</f>
        <v>1426</v>
      </c>
      <c r="R30" s="86">
        <f>Q30+M30+I30+E30</f>
        <v>9109</v>
      </c>
      <c r="S30" s="25"/>
      <c r="T30" s="96" t="s">
        <v>91</v>
      </c>
      <c r="U30" s="132" t="s">
        <v>76</v>
      </c>
      <c r="V30" s="132">
        <v>0.08</v>
      </c>
      <c r="W30" s="132">
        <v>0.42</v>
      </c>
      <c r="X30" s="132">
        <v>0.08</v>
      </c>
      <c r="Y30" s="132">
        <v>0.12</v>
      </c>
    </row>
    <row r="31" spans="1:25">
      <c r="E31" s="25"/>
      <c r="I31" s="25"/>
      <c r="M31" s="25"/>
      <c r="Q31" s="25"/>
      <c r="T31" s="96"/>
      <c r="U31" s="132" t="s">
        <v>78</v>
      </c>
      <c r="V31" s="132">
        <v>0.08</v>
      </c>
      <c r="W31" s="132">
        <v>0.42</v>
      </c>
      <c r="X31" s="132">
        <v>0.01</v>
      </c>
      <c r="Y31" s="132">
        <v>0.08</v>
      </c>
    </row>
    <row r="32" spans="1:25">
      <c r="T32" s="96"/>
      <c r="U32" s="132" t="s">
        <v>92</v>
      </c>
      <c r="V32" s="132">
        <v>0.02</v>
      </c>
      <c r="W32" s="132">
        <v>0</v>
      </c>
      <c r="X32" s="132">
        <v>0</v>
      </c>
      <c r="Y32" s="132">
        <v>0</v>
      </c>
    </row>
    <row r="33" spans="1:25">
      <c r="T33" s="96"/>
      <c r="U33" s="132" t="s">
        <v>93</v>
      </c>
      <c r="V33" s="132">
        <v>0.25</v>
      </c>
      <c r="W33" s="132">
        <v>0</v>
      </c>
      <c r="X33" s="132">
        <v>0</v>
      </c>
      <c r="Y33" s="132">
        <v>0</v>
      </c>
    </row>
    <row r="34" spans="1:25">
      <c r="T34" s="96"/>
      <c r="U34" s="132" t="s">
        <v>94</v>
      </c>
      <c r="V34" s="132">
        <v>0</v>
      </c>
      <c r="W34" s="132">
        <v>7</v>
      </c>
      <c r="X34" s="132">
        <v>1</v>
      </c>
      <c r="Y34" s="132">
        <v>0</v>
      </c>
    </row>
    <row r="35" spans="1:25">
      <c r="A35" s="1" t="s">
        <v>95</v>
      </c>
      <c r="B35" s="1"/>
      <c r="C35" s="1"/>
      <c r="D35" s="1"/>
      <c r="E35" s="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T35" s="96"/>
      <c r="U35" s="132" t="s">
        <v>96</v>
      </c>
      <c r="V35" s="132">
        <v>0</v>
      </c>
      <c r="W35" s="132">
        <v>0</v>
      </c>
      <c r="X35" s="132">
        <v>1</v>
      </c>
      <c r="Y35" s="132">
        <v>0</v>
      </c>
    </row>
    <row r="36" spans="1: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T36" s="96"/>
      <c r="U36" s="132" t="s">
        <v>97</v>
      </c>
      <c r="V36" s="132">
        <v>0</v>
      </c>
      <c r="W36" s="132">
        <v>0</v>
      </c>
      <c r="X36" s="132">
        <v>0</v>
      </c>
      <c r="Y36" s="132">
        <v>1</v>
      </c>
    </row>
    <row r="37" spans="1:25">
      <c r="A37" s="110" t="s">
        <v>21</v>
      </c>
      <c r="B37" s="102" t="s">
        <v>4</v>
      </c>
      <c r="C37" s="102" t="s">
        <v>5</v>
      </c>
      <c r="D37" s="102" t="s">
        <v>6</v>
      </c>
      <c r="E37" s="102" t="s">
        <v>7</v>
      </c>
      <c r="F37" s="102" t="s">
        <v>8</v>
      </c>
      <c r="G37" s="102" t="s">
        <v>9</v>
      </c>
      <c r="H37" s="102" t="s">
        <v>10</v>
      </c>
      <c r="I37" s="102" t="s">
        <v>11</v>
      </c>
      <c r="J37" s="102" t="s">
        <v>12</v>
      </c>
      <c r="K37" s="102" t="s">
        <v>67</v>
      </c>
      <c r="L37" s="102" t="s">
        <v>68</v>
      </c>
      <c r="M37" s="102" t="s">
        <v>15</v>
      </c>
      <c r="N37" s="102" t="s">
        <v>16</v>
      </c>
      <c r="O37" s="102" t="s">
        <v>17</v>
      </c>
      <c r="P37" s="102" t="s">
        <v>18</v>
      </c>
      <c r="Q37" s="102" t="s">
        <v>69</v>
      </c>
      <c r="R37" s="102" t="s">
        <v>44</v>
      </c>
      <c r="V37" s="129"/>
      <c r="W37" s="129"/>
      <c r="X37" s="129"/>
      <c r="Y37" s="129"/>
    </row>
    <row r="38" spans="1:25">
      <c r="A38" s="85" t="s">
        <v>89</v>
      </c>
      <c r="B38" s="94"/>
      <c r="C38" s="94"/>
      <c r="D38" s="94"/>
      <c r="E38" s="86"/>
      <c r="F38" s="94"/>
      <c r="G38" s="94"/>
      <c r="H38" s="94"/>
      <c r="I38" s="86"/>
      <c r="J38" s="94"/>
      <c r="K38" s="94"/>
      <c r="L38" s="94"/>
      <c r="M38" s="86"/>
      <c r="N38" s="94"/>
      <c r="O38" s="94"/>
      <c r="P38" s="94"/>
      <c r="Q38" s="86"/>
      <c r="R38" s="86"/>
    </row>
    <row r="39" spans="1:25">
      <c r="A39" s="94" t="s">
        <v>98</v>
      </c>
      <c r="B39" s="94">
        <f>B29*$Y25</f>
        <v>2199</v>
      </c>
      <c r="C39" s="94">
        <f>C29*$Y25</f>
        <v>2050</v>
      </c>
      <c r="D39" s="94">
        <f>D29*$Y25</f>
        <v>2585</v>
      </c>
      <c r="E39" s="86">
        <f>SUM(B39:D39)</f>
        <v>6834</v>
      </c>
      <c r="F39" s="94">
        <f>F29*$Y25</f>
        <v>3208</v>
      </c>
      <c r="G39" s="94">
        <f>G29*$Y25</f>
        <v>3872</v>
      </c>
      <c r="H39" s="94">
        <f>H29*$Y25</f>
        <v>4090</v>
      </c>
      <c r="I39" s="86">
        <f>H39+G39+F39</f>
        <v>11170</v>
      </c>
      <c r="J39" s="94">
        <f>J29*$Y25</f>
        <v>3907.5</v>
      </c>
      <c r="K39" s="94">
        <f>K29*$Y25</f>
        <v>4037.5</v>
      </c>
      <c r="L39" s="94">
        <f>L29*$Y25</f>
        <v>3925</v>
      </c>
      <c r="M39" s="86">
        <f>SUM(L39+K39+J39)</f>
        <v>11870</v>
      </c>
      <c r="N39" s="94">
        <f>N29*$Y25</f>
        <v>3124</v>
      </c>
      <c r="O39" s="94">
        <f>O29*$Y25</f>
        <v>2813</v>
      </c>
      <c r="P39" s="94">
        <f>P29*$Y25</f>
        <v>2008</v>
      </c>
      <c r="Q39" s="86">
        <f>SUM(N39:P39)</f>
        <v>7945</v>
      </c>
      <c r="R39" s="86">
        <f>Q39+M39+I39+E39</f>
        <v>37819</v>
      </c>
    </row>
    <row r="40" spans="1:25">
      <c r="A40" s="94" t="s">
        <v>99</v>
      </c>
      <c r="B40" s="94">
        <f>B30*$Y36</f>
        <v>672</v>
      </c>
      <c r="C40" s="94">
        <f>C30*$Y36</f>
        <v>647</v>
      </c>
      <c r="D40" s="94">
        <f>D30*$Y36</f>
        <v>794</v>
      </c>
      <c r="E40" s="86">
        <f>SUM(B40:D40)</f>
        <v>2113</v>
      </c>
      <c r="F40" s="94">
        <f>F30*$Y36</f>
        <v>1019.4000000000001</v>
      </c>
      <c r="G40" s="94">
        <f>G30*$Y36</f>
        <v>1425.6</v>
      </c>
      <c r="H40" s="94">
        <f>H30*$Y36</f>
        <v>1308</v>
      </c>
      <c r="I40" s="86">
        <f>SUM(F40:H40)</f>
        <v>3753</v>
      </c>
      <c r="J40" s="94">
        <f>J30*$Y36</f>
        <v>623</v>
      </c>
      <c r="K40" s="94">
        <f>K30*$Y36</f>
        <v>634</v>
      </c>
      <c r="L40" s="94">
        <f>L30*$Y36</f>
        <v>560</v>
      </c>
      <c r="M40" s="86">
        <f>SUM(J40:L40)</f>
        <v>1817</v>
      </c>
      <c r="N40" s="94">
        <f>N30*$Y36</f>
        <v>496</v>
      </c>
      <c r="O40" s="94">
        <f>O30*$Y36</f>
        <v>439</v>
      </c>
      <c r="P40" s="94">
        <f>P30*$Y36</f>
        <v>491</v>
      </c>
      <c r="Q40" s="86">
        <f>SUM(N40:P40)</f>
        <v>1426</v>
      </c>
      <c r="R40" s="86">
        <v>6176</v>
      </c>
    </row>
    <row r="41" spans="1:25">
      <c r="A41" s="88" t="s">
        <v>44</v>
      </c>
      <c r="B41" s="86">
        <f>SUM(B39:B40)</f>
        <v>2871</v>
      </c>
      <c r="C41" s="86">
        <f>SUM(C39:C40)</f>
        <v>2697</v>
      </c>
      <c r="D41" s="86">
        <f>SUM(D39:D40)</f>
        <v>3379</v>
      </c>
      <c r="E41" s="86">
        <f>SUM(B41:D41)</f>
        <v>8947</v>
      </c>
      <c r="F41" s="86">
        <f>SUM(F39:F40)</f>
        <v>4227.3999999999996</v>
      </c>
      <c r="G41" s="86">
        <f>SUM(G39:G40)</f>
        <v>5297.6</v>
      </c>
      <c r="H41" s="86">
        <f>SUM(H39:H40)</f>
        <v>5398</v>
      </c>
      <c r="I41" s="86">
        <f>SUM(F41:H41)</f>
        <v>14923</v>
      </c>
      <c r="J41" s="86">
        <f>SUM(J39:J40)</f>
        <v>4530.5</v>
      </c>
      <c r="K41" s="86">
        <f>SUM(K39:K40)</f>
        <v>4671.5</v>
      </c>
      <c r="L41" s="86">
        <f>SUM(L39:L40)</f>
        <v>4485</v>
      </c>
      <c r="M41" s="86">
        <f>SUM(J41:L41)</f>
        <v>13687</v>
      </c>
      <c r="N41" s="86">
        <f>SUM(N39:N40)</f>
        <v>3620</v>
      </c>
      <c r="O41" s="86">
        <f>SUM(O39:O40)</f>
        <v>3252</v>
      </c>
      <c r="P41" s="86">
        <f>SUM(P39:P40)</f>
        <v>2499</v>
      </c>
      <c r="Q41" s="86">
        <f>Q39+Q40</f>
        <v>9371</v>
      </c>
      <c r="R41" s="86">
        <f>Q41+M41+I41+E41</f>
        <v>46928</v>
      </c>
      <c r="U41" s="128" t="s">
        <v>100</v>
      </c>
      <c r="V41" s="128"/>
      <c r="W41" s="96"/>
    </row>
    <row r="42" spans="1:25">
      <c r="A42" s="85" t="s">
        <v>93</v>
      </c>
      <c r="B42" s="94"/>
      <c r="C42" s="94"/>
      <c r="D42" s="94"/>
      <c r="E42" s="86"/>
      <c r="F42" s="94"/>
      <c r="G42" s="94"/>
      <c r="H42" s="94"/>
      <c r="I42" s="86"/>
      <c r="J42" s="94"/>
      <c r="K42" s="94"/>
      <c r="L42" s="94"/>
      <c r="M42" s="86"/>
      <c r="N42" s="94"/>
      <c r="O42" s="94"/>
      <c r="P42" s="94"/>
      <c r="Q42" s="86"/>
      <c r="R42" s="86"/>
      <c r="U42" s="96"/>
      <c r="V42" s="96"/>
      <c r="W42" s="96"/>
    </row>
    <row r="43" spans="1:25">
      <c r="A43" s="94" t="s">
        <v>101</v>
      </c>
      <c r="B43" s="94">
        <f>B27*$V8</f>
        <v>3224.7</v>
      </c>
      <c r="C43" s="94">
        <f>C27*$V8</f>
        <v>2877</v>
      </c>
      <c r="D43" s="94">
        <f>D27*$V8</f>
        <v>3130.5</v>
      </c>
      <c r="E43" s="86">
        <f>SUM(B43:D43)</f>
        <v>9232.2000000000007</v>
      </c>
      <c r="F43" s="94">
        <f>F27*$V8</f>
        <v>3253.5</v>
      </c>
      <c r="G43" s="94">
        <f>G27*$V8</f>
        <v>3718.35</v>
      </c>
      <c r="H43" s="94">
        <f>H27*$V8</f>
        <v>3739.35</v>
      </c>
      <c r="I43" s="86">
        <f>SUM(F43:H43)</f>
        <v>10711.2</v>
      </c>
      <c r="J43" s="94">
        <f>J27*$V8</f>
        <v>3774.1499999999996</v>
      </c>
      <c r="K43" s="94">
        <f>K27*$V8</f>
        <v>3616.0499999999997</v>
      </c>
      <c r="L43" s="94">
        <f>L27*$V8</f>
        <v>3450.9</v>
      </c>
      <c r="M43" s="86">
        <f>SUM(J43:L43)</f>
        <v>10841.099999999999</v>
      </c>
      <c r="N43" s="94">
        <f>N27*$V8</f>
        <v>3202.0499999999997</v>
      </c>
      <c r="O43" s="94">
        <f>O27*$V8</f>
        <v>2746.95</v>
      </c>
      <c r="P43" s="94">
        <f>P27*$V8</f>
        <v>2686.2</v>
      </c>
      <c r="Q43" s="86">
        <f>SUM(N43:P43)</f>
        <v>8635.2000000000007</v>
      </c>
      <c r="R43" s="86">
        <f>SUM(Q43+M43+I43+E43)</f>
        <v>39419.699999999997</v>
      </c>
      <c r="U43" s="96"/>
      <c r="V43" s="96" t="s">
        <v>102</v>
      </c>
      <c r="W43" s="96" t="s">
        <v>102</v>
      </c>
    </row>
    <row r="44" spans="1:25">
      <c r="A44" s="94" t="s">
        <v>103</v>
      </c>
      <c r="B44" s="94">
        <f>B28*$V16</f>
        <v>1911</v>
      </c>
      <c r="C44" s="94">
        <f>C28*$V16</f>
        <v>1736.25</v>
      </c>
      <c r="D44" s="94">
        <f>D28*$V16</f>
        <v>2046.75</v>
      </c>
      <c r="E44" s="86">
        <f>SUM(B44:D44)</f>
        <v>5694</v>
      </c>
      <c r="F44" s="94">
        <f>F28*$V16</f>
        <v>2170.75</v>
      </c>
      <c r="G44" s="94">
        <f>G28*$V16</f>
        <v>2154.5</v>
      </c>
      <c r="H44" s="94">
        <f>H28*$V16</f>
        <v>2330.5</v>
      </c>
      <c r="I44" s="86">
        <f>SUM(F44:H44)</f>
        <v>6655.75</v>
      </c>
      <c r="J44" s="94">
        <f>J28*$V16</f>
        <v>957.5</v>
      </c>
      <c r="K44" s="94">
        <f>K28*$V16</f>
        <v>2035</v>
      </c>
      <c r="L44" s="94">
        <f>L28*$V16</f>
        <v>2140.25</v>
      </c>
      <c r="M44" s="86">
        <f>SUM(J44:L44)</f>
        <v>5132.75</v>
      </c>
      <c r="N44" s="94">
        <f>N28*$V16</f>
        <v>1942.75</v>
      </c>
      <c r="O44" s="94">
        <f>O28*$V16</f>
        <v>1901.25</v>
      </c>
      <c r="P44" s="94">
        <f>P28*$V16</f>
        <v>1739.5</v>
      </c>
      <c r="Q44" s="86">
        <f>SUM(N44:P44)</f>
        <v>5583.5</v>
      </c>
      <c r="R44" s="86">
        <f>SUM(Q44+M44+I44+E44)</f>
        <v>23066</v>
      </c>
      <c r="U44" s="96"/>
      <c r="V44" s="96" t="s">
        <v>104</v>
      </c>
      <c r="W44" s="96" t="s">
        <v>105</v>
      </c>
    </row>
    <row r="45" spans="1:25">
      <c r="A45" s="94" t="s">
        <v>98</v>
      </c>
      <c r="B45" s="94">
        <f>B29*$V24</f>
        <v>439.8</v>
      </c>
      <c r="C45" s="94">
        <f>C29*$V24</f>
        <v>410</v>
      </c>
      <c r="D45" s="94">
        <f>D29*$V24</f>
        <v>517</v>
      </c>
      <c r="E45" s="86">
        <f>SUM(B45:D45)</f>
        <v>1366.8</v>
      </c>
      <c r="F45" s="94">
        <f>F29*$V24</f>
        <v>641.6</v>
      </c>
      <c r="G45" s="94">
        <f>G29*$V24</f>
        <v>774.40000000000009</v>
      </c>
      <c r="H45" s="94">
        <f>H29*$V24</f>
        <v>818</v>
      </c>
      <c r="I45" s="86">
        <f>F45+G45+H45</f>
        <v>2234</v>
      </c>
      <c r="J45" s="94">
        <f>J29*$V24</f>
        <v>781.5</v>
      </c>
      <c r="K45" s="94">
        <f>K29*$V24</f>
        <v>807.5</v>
      </c>
      <c r="L45" s="94">
        <f>L29*$V24</f>
        <v>785</v>
      </c>
      <c r="M45" s="86">
        <f>J45+K45+L45</f>
        <v>2374</v>
      </c>
      <c r="N45" s="94">
        <f>N29*$V24</f>
        <v>624.80000000000007</v>
      </c>
      <c r="O45" s="94">
        <f>O29*$V24</f>
        <v>562.6</v>
      </c>
      <c r="P45" s="94">
        <f>P29*$V24</f>
        <v>401.6</v>
      </c>
      <c r="Q45" s="86">
        <f>N45+O45+P45</f>
        <v>1589</v>
      </c>
      <c r="R45" s="86">
        <f>Q45+M45+I45+E45</f>
        <v>7563.8</v>
      </c>
      <c r="U45" s="95" t="s">
        <v>89</v>
      </c>
      <c r="V45" s="95">
        <v>5</v>
      </c>
      <c r="W45" s="95">
        <v>5</v>
      </c>
    </row>
    <row r="46" spans="1:25">
      <c r="A46" s="94" t="s">
        <v>99</v>
      </c>
      <c r="B46" s="94">
        <f>B30*$V33</f>
        <v>168</v>
      </c>
      <c r="C46" s="94">
        <f>C30*$V33</f>
        <v>161.75</v>
      </c>
      <c r="D46" s="94">
        <f>D30*$V33</f>
        <v>198.5</v>
      </c>
      <c r="E46" s="86">
        <f>D46+C46+B46</f>
        <v>528.25</v>
      </c>
      <c r="F46" s="94">
        <f>F30*$V33</f>
        <v>254.85000000000002</v>
      </c>
      <c r="G46" s="94">
        <f>G30*$V33</f>
        <v>356.4</v>
      </c>
      <c r="H46" s="94">
        <f>H30*$V33</f>
        <v>327</v>
      </c>
      <c r="I46" s="86">
        <f>H46+G46+F46</f>
        <v>938.25</v>
      </c>
      <c r="J46" s="94">
        <f>J30*$V33</f>
        <v>155.75</v>
      </c>
      <c r="K46" s="94">
        <f>K30*$V33</f>
        <v>158.5</v>
      </c>
      <c r="L46" s="94">
        <f>L30*$V33</f>
        <v>140</v>
      </c>
      <c r="M46" s="86">
        <f>L46+K46+J46</f>
        <v>454.25</v>
      </c>
      <c r="N46" s="94">
        <f>N30*$V33</f>
        <v>124</v>
      </c>
      <c r="O46" s="94">
        <f>O30*$V33</f>
        <v>109.75</v>
      </c>
      <c r="P46" s="94">
        <f>P30*$V33</f>
        <v>122.75</v>
      </c>
      <c r="Q46" s="86">
        <f>P46+O46+N46</f>
        <v>356.5</v>
      </c>
      <c r="R46" s="86">
        <f>Q46+M46+I46+E46</f>
        <v>2277.25</v>
      </c>
      <c r="U46" s="95" t="s">
        <v>93</v>
      </c>
      <c r="V46" s="95">
        <v>36.78</v>
      </c>
      <c r="W46" s="95">
        <v>36.67</v>
      </c>
    </row>
    <row r="47" spans="1:25">
      <c r="A47" s="88" t="s">
        <v>44</v>
      </c>
      <c r="B47" s="86">
        <f>SUM(B43:B46)</f>
        <v>5743.5</v>
      </c>
      <c r="C47" s="86">
        <f>SUM(C43:C46)</f>
        <v>5185</v>
      </c>
      <c r="D47" s="86">
        <f>SUM(D43:D46)</f>
        <v>5892.75</v>
      </c>
      <c r="E47" s="86">
        <f>SUM(B47:D47)</f>
        <v>16821.25</v>
      </c>
      <c r="F47" s="86">
        <f>SUM(F43:F46)</f>
        <v>6320.7000000000007</v>
      </c>
      <c r="G47" s="86">
        <f>SUM(G43:G46)</f>
        <v>7003.65</v>
      </c>
      <c r="H47" s="86">
        <f>SUM(H43:H46)</f>
        <v>7214.85</v>
      </c>
      <c r="I47" s="86">
        <f>SUM(F47:H47)</f>
        <v>20539.2</v>
      </c>
      <c r="J47" s="86">
        <f>SUM(J43:J46)</f>
        <v>5668.9</v>
      </c>
      <c r="K47" s="86">
        <f>SUM(K43:K46)</f>
        <v>6617.0499999999993</v>
      </c>
      <c r="L47" s="86">
        <f>SUM(L43:L46)</f>
        <v>6516.15</v>
      </c>
      <c r="M47" s="86">
        <f>SUM(J47:L47)</f>
        <v>18802.099999999999</v>
      </c>
      <c r="N47" s="86">
        <f>SUM(N43:N46)</f>
        <v>5893.5999999999995</v>
      </c>
      <c r="O47" s="86">
        <f>SUM(O43:O46)</f>
        <v>5320.55</v>
      </c>
      <c r="P47" s="86">
        <f>SUM(P43:P46)</f>
        <v>4950.05</v>
      </c>
      <c r="Q47" s="86">
        <f>SUM(Q43:Q46)</f>
        <v>16164.2</v>
      </c>
      <c r="R47" s="86">
        <f>SUM(R43:R46)</f>
        <v>72326.75</v>
      </c>
      <c r="U47" s="95" t="s">
        <v>94</v>
      </c>
      <c r="V47" s="95">
        <v>3.0999999999999999E-3</v>
      </c>
      <c r="W47" s="95">
        <v>3.0000000000000001E-3</v>
      </c>
    </row>
    <row r="48" spans="1:25">
      <c r="A48" s="85" t="s">
        <v>94</v>
      </c>
      <c r="B48" s="94"/>
      <c r="C48" s="94"/>
      <c r="D48" s="94"/>
      <c r="E48" s="86"/>
      <c r="F48" s="94"/>
      <c r="G48" s="94"/>
      <c r="H48" s="94"/>
      <c r="I48" s="86"/>
      <c r="J48" s="94"/>
      <c r="K48" s="94"/>
      <c r="L48" s="94"/>
      <c r="M48" s="86"/>
      <c r="N48" s="94"/>
      <c r="O48" s="94"/>
      <c r="P48" s="94"/>
      <c r="Q48" s="86"/>
      <c r="R48" s="86"/>
      <c r="U48" s="95" t="s">
        <v>96</v>
      </c>
      <c r="V48" s="95">
        <v>5</v>
      </c>
      <c r="W48" s="95">
        <v>5</v>
      </c>
    </row>
    <row r="49" spans="1:22">
      <c r="A49" s="94" t="s">
        <v>101</v>
      </c>
      <c r="B49" s="94">
        <f>B27*$W9</f>
        <v>85992</v>
      </c>
      <c r="C49" s="94">
        <f>C27*$W9</f>
        <v>76720</v>
      </c>
      <c r="D49" s="94">
        <f>D27*$W9</f>
        <v>83480</v>
      </c>
      <c r="E49" s="86">
        <f>SUM(B49:D49)</f>
        <v>246192</v>
      </c>
      <c r="F49" s="94">
        <f>F27*$W9</f>
        <v>86760</v>
      </c>
      <c r="G49" s="94">
        <f>G27*$W9</f>
        <v>99156</v>
      </c>
      <c r="H49" s="94">
        <f>H27*$W9</f>
        <v>99716</v>
      </c>
      <c r="I49" s="86">
        <f>SUM(F49:H49)</f>
        <v>285632</v>
      </c>
      <c r="J49" s="94">
        <f>J27*$W9</f>
        <v>100644</v>
      </c>
      <c r="K49" s="94">
        <f>K27*$W9</f>
        <v>96428</v>
      </c>
      <c r="L49" s="94">
        <f>L27*$W9</f>
        <v>92024</v>
      </c>
      <c r="M49" s="86">
        <f>SUM(J49:L49)</f>
        <v>289096</v>
      </c>
      <c r="N49" s="94">
        <f>N27*$W9</f>
        <v>85388</v>
      </c>
      <c r="O49" s="94">
        <f>O27*$W9</f>
        <v>73252</v>
      </c>
      <c r="P49" s="94">
        <f>P27*$W9</f>
        <v>71632</v>
      </c>
      <c r="Q49" s="86">
        <f>SUM(N49:P49)</f>
        <v>230272</v>
      </c>
      <c r="R49" s="86">
        <f>SUM(Q49+M49+I49+E49)</f>
        <v>1051192</v>
      </c>
    </row>
    <row r="50" spans="1:22">
      <c r="A50" s="94" t="s">
        <v>103</v>
      </c>
      <c r="B50" s="94">
        <f>B28*$W17</f>
        <v>53508</v>
      </c>
      <c r="C50" s="94">
        <f>C28*$W17</f>
        <v>48615</v>
      </c>
      <c r="D50" s="94">
        <f>D28*$W17</f>
        <v>57309</v>
      </c>
      <c r="E50" s="86">
        <f>SUM(B50:D50)</f>
        <v>159432</v>
      </c>
      <c r="F50" s="94">
        <f>F28*$W17</f>
        <v>60781</v>
      </c>
      <c r="G50" s="94">
        <f>G28*$W17</f>
        <v>60326</v>
      </c>
      <c r="H50" s="94">
        <f>H28*$W17</f>
        <v>65254</v>
      </c>
      <c r="I50" s="86">
        <f>SUM(F50:H50)</f>
        <v>186361</v>
      </c>
      <c r="J50" s="94">
        <f>J28*$W17</f>
        <v>26810</v>
      </c>
      <c r="K50" s="94">
        <f>K28*$W17</f>
        <v>56980</v>
      </c>
      <c r="L50" s="94">
        <f>L28*$W17</f>
        <v>59927</v>
      </c>
      <c r="M50" s="86">
        <f>SUM(J50:L50)</f>
        <v>143717</v>
      </c>
      <c r="N50" s="94">
        <f>N28*$W17</f>
        <v>54397</v>
      </c>
      <c r="O50" s="94">
        <f>O28*$W17</f>
        <v>53235</v>
      </c>
      <c r="P50" s="94">
        <f>P28*$W17</f>
        <v>48706</v>
      </c>
      <c r="Q50" s="86">
        <f>SUM(N50:P50)</f>
        <v>156338</v>
      </c>
      <c r="R50" s="86">
        <f>Q50+M50+I50+E50</f>
        <v>645848</v>
      </c>
    </row>
    <row r="51" spans="1:22">
      <c r="A51" s="94" t="s">
        <v>98</v>
      </c>
      <c r="B51" s="95">
        <f>B29*$W26</f>
        <v>13194</v>
      </c>
      <c r="C51" s="95">
        <f>C29*$W26</f>
        <v>12300</v>
      </c>
      <c r="D51" s="95">
        <f>D29*$W26</f>
        <v>15510</v>
      </c>
      <c r="E51" s="96">
        <f>SUM(B51:D51)</f>
        <v>41004</v>
      </c>
      <c r="F51" s="95">
        <f>F29*$W26</f>
        <v>19248</v>
      </c>
      <c r="G51" s="95">
        <f>G29*$W26</f>
        <v>23232</v>
      </c>
      <c r="H51" s="95">
        <f>H29*$W26</f>
        <v>24540</v>
      </c>
      <c r="I51" s="96">
        <f>SUM(F51:H51)</f>
        <v>67020</v>
      </c>
      <c r="J51" s="95">
        <f>J29*$W26</f>
        <v>23445</v>
      </c>
      <c r="K51" s="95">
        <f>K29*$W26</f>
        <v>24225</v>
      </c>
      <c r="L51" s="95">
        <f>L29*$W26</f>
        <v>23550</v>
      </c>
      <c r="M51" s="96">
        <f>SUM(J51:L51)</f>
        <v>71220</v>
      </c>
      <c r="N51" s="95">
        <f>N29*$W26</f>
        <v>18744</v>
      </c>
      <c r="O51" s="95">
        <f>O29*$W26</f>
        <v>16878</v>
      </c>
      <c r="P51" s="95">
        <f>P29*$W26</f>
        <v>12048</v>
      </c>
      <c r="Q51" s="96">
        <f>SUM(N51:P51)</f>
        <v>47670</v>
      </c>
      <c r="R51" s="96">
        <f>Q51+M51+I51+E51</f>
        <v>226914</v>
      </c>
    </row>
    <row r="52" spans="1:22">
      <c r="A52" s="94" t="s">
        <v>99</v>
      </c>
      <c r="B52" s="95">
        <f>B30*($W34+$X34)</f>
        <v>5376</v>
      </c>
      <c r="C52" s="95">
        <f>C30*($W34+$X34)</f>
        <v>5176</v>
      </c>
      <c r="D52" s="95">
        <f>D30*($W34+$X34)</f>
        <v>6352</v>
      </c>
      <c r="E52" s="96">
        <f>D52+C52+B52</f>
        <v>16904</v>
      </c>
      <c r="F52" s="95">
        <f>F30*($W34+$X34)</f>
        <v>8155.2000000000007</v>
      </c>
      <c r="G52" s="95">
        <f>G30*($W34+$X34)</f>
        <v>11404.8</v>
      </c>
      <c r="H52" s="95">
        <f>H30*($W34+$X34)</f>
        <v>10464</v>
      </c>
      <c r="I52" s="96">
        <f>H52+G52+F52</f>
        <v>30024</v>
      </c>
      <c r="J52" s="95">
        <f>J30*($W34+$X34)</f>
        <v>4984</v>
      </c>
      <c r="K52" s="95">
        <f>K30*($W34+$X34)</f>
        <v>5072</v>
      </c>
      <c r="L52" s="95">
        <f>L30*($W34+$X34)</f>
        <v>4480</v>
      </c>
      <c r="M52" s="96">
        <f>L52+K52+J52</f>
        <v>14536</v>
      </c>
      <c r="N52" s="95">
        <f>N30*($W34+$X34)</f>
        <v>3968</v>
      </c>
      <c r="O52" s="95">
        <f>O30*($W34+$X34)</f>
        <v>3512</v>
      </c>
      <c r="P52" s="95">
        <f>P30*($W34+$X34)</f>
        <v>3928</v>
      </c>
      <c r="Q52" s="96">
        <f>P52+O52+N52</f>
        <v>11408</v>
      </c>
      <c r="R52" s="96">
        <f>Q52+M52+I52+E52</f>
        <v>72872</v>
      </c>
    </row>
    <row r="53" spans="1:22">
      <c r="A53" s="89" t="s">
        <v>44</v>
      </c>
      <c r="B53" s="50">
        <f>SUM(B49:B52)</f>
        <v>158070</v>
      </c>
      <c r="C53" s="86">
        <f>SUM(C49:C52)</f>
        <v>142811</v>
      </c>
      <c r="D53" s="86">
        <f>SUM(D49:D52)</f>
        <v>162651</v>
      </c>
      <c r="E53" s="86">
        <f>B53+C53+D53</f>
        <v>463532</v>
      </c>
      <c r="F53" s="86">
        <f>SUM(F49:F52)</f>
        <v>174944.2</v>
      </c>
      <c r="G53" s="86">
        <f>SUM(G49:G52)</f>
        <v>194118.8</v>
      </c>
      <c r="H53" s="86">
        <f>SUM(H49:H52)</f>
        <v>199974</v>
      </c>
      <c r="I53" s="86">
        <f>F53+G53+H53</f>
        <v>569037</v>
      </c>
      <c r="J53" s="86">
        <f>SUM(J49:J52)</f>
        <v>155883</v>
      </c>
      <c r="K53" s="86">
        <f>SUM(K49:K52)</f>
        <v>182705</v>
      </c>
      <c r="L53" s="86">
        <f>SUM(L49:L52)</f>
        <v>179981</v>
      </c>
      <c r="M53" s="86">
        <f>J53+K53+L53</f>
        <v>518569</v>
      </c>
      <c r="N53" s="86">
        <f>SUM(N49:N52)</f>
        <v>162497</v>
      </c>
      <c r="O53" s="86">
        <f>SUM(O49:O52)</f>
        <v>146877</v>
      </c>
      <c r="P53" s="86">
        <f>SUM(P49:P52)</f>
        <v>136314</v>
      </c>
      <c r="Q53" s="86">
        <f>P53+O53+N53</f>
        <v>445688</v>
      </c>
      <c r="R53" s="86">
        <f>SUM(R49:R52)</f>
        <v>1996826</v>
      </c>
    </row>
    <row r="54" spans="1:22">
      <c r="A54" s="87" t="s">
        <v>96</v>
      </c>
      <c r="B54" s="95"/>
      <c r="C54" s="95"/>
      <c r="D54" s="95"/>
      <c r="E54" s="96"/>
      <c r="F54" s="95"/>
      <c r="G54" s="95"/>
      <c r="H54" s="95"/>
      <c r="I54" s="96"/>
      <c r="J54" s="95"/>
      <c r="K54" s="95"/>
      <c r="L54" s="95"/>
      <c r="M54" s="96"/>
      <c r="N54" s="95"/>
      <c r="O54" s="95"/>
      <c r="P54" s="95"/>
      <c r="Q54" s="96"/>
      <c r="R54" s="96"/>
    </row>
    <row r="55" spans="1:22">
      <c r="A55" s="94" t="s">
        <v>101</v>
      </c>
      <c r="B55" s="95">
        <f>B27*$X10</f>
        <v>10749</v>
      </c>
      <c r="C55" s="95">
        <f>C27*$X10</f>
        <v>9590</v>
      </c>
      <c r="D55" s="95">
        <f>D27*$X10</f>
        <v>10435</v>
      </c>
      <c r="E55" s="96">
        <f>SUM(B55:D55)</f>
        <v>30774</v>
      </c>
      <c r="F55" s="95">
        <f>F27*$X10</f>
        <v>10845</v>
      </c>
      <c r="G55" s="95">
        <f>G27*$X10</f>
        <v>12394.5</v>
      </c>
      <c r="H55" s="95">
        <f>H27*$X10</f>
        <v>12464.5</v>
      </c>
      <c r="I55" s="96">
        <f>SUM(F55:H55)</f>
        <v>35704</v>
      </c>
      <c r="J55" s="95">
        <f>J27*$X10</f>
        <v>12580.5</v>
      </c>
      <c r="K55" s="95">
        <f>K27*$X10</f>
        <v>12053.5</v>
      </c>
      <c r="L55" s="95">
        <f>L27*$X10</f>
        <v>11503</v>
      </c>
      <c r="M55" s="96">
        <f>SUM(J55:L55)</f>
        <v>36137</v>
      </c>
      <c r="N55" s="95">
        <f>N27*$X10</f>
        <v>10673.5</v>
      </c>
      <c r="O55" s="95">
        <f>O27*$X10</f>
        <v>9156.5</v>
      </c>
      <c r="P55" s="95">
        <f>P27*$X10</f>
        <v>8954</v>
      </c>
      <c r="Q55" s="96">
        <f>SUM(N55:P55)</f>
        <v>28784</v>
      </c>
      <c r="R55" s="96">
        <f>SUM(Q55+M55+I55+E55)</f>
        <v>131399</v>
      </c>
    </row>
    <row r="56" spans="1:22">
      <c r="A56" s="94" t="s">
        <v>103</v>
      </c>
      <c r="B56" s="95">
        <f>B28*$X18</f>
        <v>7644</v>
      </c>
      <c r="C56" s="95">
        <f>C28*$X18</f>
        <v>6945</v>
      </c>
      <c r="D56" s="95">
        <f>D28*$X18</f>
        <v>8187</v>
      </c>
      <c r="E56" s="96">
        <f>SUM(B56:D56)</f>
        <v>22776</v>
      </c>
      <c r="F56" s="95">
        <f>F28*$X18</f>
        <v>8683</v>
      </c>
      <c r="G56" s="95">
        <f>G28*$X18</f>
        <v>8618</v>
      </c>
      <c r="H56" s="95">
        <f>H28*$X18</f>
        <v>9322</v>
      </c>
      <c r="I56" s="96">
        <f>SUM(F56:H56)</f>
        <v>26623</v>
      </c>
      <c r="J56" s="95">
        <f>J28*$X18</f>
        <v>3830</v>
      </c>
      <c r="K56" s="95">
        <f>K28*$X18</f>
        <v>8140</v>
      </c>
      <c r="L56" s="95">
        <f>L28*$X18</f>
        <v>8561</v>
      </c>
      <c r="M56" s="96">
        <f>SUM(J56:L56)</f>
        <v>20531</v>
      </c>
      <c r="N56" s="95">
        <f>N28*$X18</f>
        <v>7771</v>
      </c>
      <c r="O56" s="95">
        <f>O28*$X18</f>
        <v>7605</v>
      </c>
      <c r="P56" s="95">
        <f>P28*$X18</f>
        <v>6958</v>
      </c>
      <c r="Q56" s="96">
        <f>SUM(N56:P56)</f>
        <v>22334</v>
      </c>
      <c r="R56" s="96">
        <f>Q56+M56+I56+E56</f>
        <v>92264</v>
      </c>
    </row>
    <row r="57" spans="1:22">
      <c r="A57" s="94" t="s">
        <v>98</v>
      </c>
      <c r="B57" s="95">
        <f>B29*$X27</f>
        <v>2199</v>
      </c>
      <c r="C57" s="95">
        <f>C29*$X27</f>
        <v>2050</v>
      </c>
      <c r="D57" s="95">
        <f>D29*$X27</f>
        <v>2585</v>
      </c>
      <c r="E57" s="96">
        <f>SUM(B57:D57)</f>
        <v>6834</v>
      </c>
      <c r="F57" s="95">
        <f>F29*$X27</f>
        <v>3208</v>
      </c>
      <c r="G57" s="95">
        <f>G29*$X27</f>
        <v>3872</v>
      </c>
      <c r="H57" s="95">
        <f>H29*$X27</f>
        <v>4090</v>
      </c>
      <c r="I57" s="96">
        <f>SUM(F57:H57)</f>
        <v>11170</v>
      </c>
      <c r="J57" s="95">
        <f>J29*$X27</f>
        <v>3907.5</v>
      </c>
      <c r="K57" s="95">
        <f>K29*$X27</f>
        <v>4037.5</v>
      </c>
      <c r="L57" s="95">
        <f>L29*$X27</f>
        <v>3925</v>
      </c>
      <c r="M57" s="96">
        <f>SUM(J57:L57)</f>
        <v>11870</v>
      </c>
      <c r="N57" s="95">
        <f>N29*$X27</f>
        <v>3124</v>
      </c>
      <c r="O57" s="95">
        <f>O29*$X27</f>
        <v>2813</v>
      </c>
      <c r="P57" s="95">
        <f>P29*$X27</f>
        <v>2008</v>
      </c>
      <c r="Q57" s="96">
        <f>P57+N57+O57</f>
        <v>7945</v>
      </c>
      <c r="R57" s="96">
        <f>SUM(Q57+M57+I57+E57)</f>
        <v>37819</v>
      </c>
    </row>
    <row r="58" spans="1:22">
      <c r="A58" s="94" t="s">
        <v>99</v>
      </c>
      <c r="B58" s="95">
        <f>B30*$X35</f>
        <v>672</v>
      </c>
      <c r="C58" s="95">
        <f>C30*$X35</f>
        <v>647</v>
      </c>
      <c r="D58" s="95">
        <f>D30*$X35</f>
        <v>794</v>
      </c>
      <c r="E58" s="96">
        <f>D58+C58+B58</f>
        <v>2113</v>
      </c>
      <c r="F58" s="95">
        <f>F30*$X35</f>
        <v>1019.4000000000001</v>
      </c>
      <c r="G58" s="95">
        <f>G30*$X35</f>
        <v>1425.6</v>
      </c>
      <c r="H58" s="95">
        <f>H30*$X35</f>
        <v>1308</v>
      </c>
      <c r="I58" s="96">
        <f>H58+G58+F58</f>
        <v>3753</v>
      </c>
      <c r="J58" s="95">
        <f>J30*$X35</f>
        <v>623</v>
      </c>
      <c r="K58" s="95">
        <f>K30*$X35</f>
        <v>634</v>
      </c>
      <c r="L58" s="95">
        <f>L30*$X35</f>
        <v>560</v>
      </c>
      <c r="M58" s="96">
        <f>L58+K58+J58</f>
        <v>1817</v>
      </c>
      <c r="N58" s="95">
        <f>N30*$X35</f>
        <v>496</v>
      </c>
      <c r="O58" s="95">
        <f>O30*$X35</f>
        <v>439</v>
      </c>
      <c r="P58" s="95">
        <f>P30*$X35</f>
        <v>491</v>
      </c>
      <c r="Q58" s="96">
        <f>P58+O58+N58</f>
        <v>1426</v>
      </c>
      <c r="R58" s="96">
        <f>Q58+M58+I58+E58</f>
        <v>9109</v>
      </c>
    </row>
    <row r="59" spans="1:22">
      <c r="A59" s="89" t="s">
        <v>44</v>
      </c>
      <c r="B59" s="96">
        <f>SUM(B55:B58)</f>
        <v>21264</v>
      </c>
      <c r="C59" s="96">
        <f>SUM(C55:C58)</f>
        <v>19232</v>
      </c>
      <c r="D59" s="96">
        <f>SUM(D55:D58)</f>
        <v>22001</v>
      </c>
      <c r="E59" s="96">
        <f>D59+C59+B59</f>
        <v>62497</v>
      </c>
      <c r="F59" s="96">
        <f>SUM(F55:F58)</f>
        <v>23755.4</v>
      </c>
      <c r="G59" s="96">
        <f>SUM(G55:G58)</f>
        <v>26310.1</v>
      </c>
      <c r="H59" s="96">
        <f>SUM(H55:H58)</f>
        <v>27184.5</v>
      </c>
      <c r="I59" s="96">
        <f>G59+F59</f>
        <v>50065.5</v>
      </c>
      <c r="J59" s="96">
        <f>SUM(J55:J58)</f>
        <v>20941</v>
      </c>
      <c r="K59" s="96">
        <f>SUM(K55:K58)</f>
        <v>24865</v>
      </c>
      <c r="L59" s="96">
        <f>SUM(L55:L58)</f>
        <v>24549</v>
      </c>
      <c r="M59" s="96">
        <f>L59+K59+J59</f>
        <v>70355</v>
      </c>
      <c r="N59" s="96">
        <f>SUM(N55:N58)</f>
        <v>22064.5</v>
      </c>
      <c r="O59" s="96">
        <f>SUM(O55:O58)</f>
        <v>20013.5</v>
      </c>
      <c r="P59" s="96">
        <f>SUM(P55:P58)</f>
        <v>18411</v>
      </c>
      <c r="Q59" s="96">
        <f>P59+O59+N59</f>
        <v>60489</v>
      </c>
      <c r="R59" s="96">
        <f>SUM(R55:R58)</f>
        <v>270591</v>
      </c>
    </row>
    <row r="60" spans="1:22">
      <c r="T60" s="25"/>
      <c r="U60" s="25"/>
      <c r="V60" s="25"/>
    </row>
    <row r="61" spans="1:22">
      <c r="T61" s="25"/>
      <c r="U61" s="25"/>
      <c r="V61" s="25"/>
    </row>
    <row r="62" spans="1:22">
      <c r="T62" s="25"/>
      <c r="U62" s="25"/>
      <c r="V62" s="25"/>
    </row>
    <row r="63" spans="1:22">
      <c r="A63" s="100" t="s">
        <v>106</v>
      </c>
      <c r="B63" s="101"/>
      <c r="C63" s="101" t="s">
        <v>46</v>
      </c>
      <c r="D63" s="101" t="s">
        <v>46</v>
      </c>
      <c r="E63" s="101" t="s">
        <v>46</v>
      </c>
      <c r="F63" s="101" t="s">
        <v>46</v>
      </c>
      <c r="G63" s="101" t="s">
        <v>46</v>
      </c>
      <c r="H63" s="101" t="s">
        <v>46</v>
      </c>
      <c r="I63" s="101" t="s">
        <v>46</v>
      </c>
      <c r="J63" s="101" t="s">
        <v>46</v>
      </c>
      <c r="K63" s="101" t="s">
        <v>46</v>
      </c>
      <c r="L63" s="101" t="s">
        <v>46</v>
      </c>
      <c r="M63" s="101" t="s">
        <v>46</v>
      </c>
      <c r="N63" s="101" t="s">
        <v>46</v>
      </c>
      <c r="O63" s="101" t="s">
        <v>46</v>
      </c>
      <c r="P63" s="101" t="s">
        <v>46</v>
      </c>
      <c r="Q63" s="101" t="s">
        <v>46</v>
      </c>
      <c r="R63" s="101" t="s">
        <v>46</v>
      </c>
      <c r="T63" s="25"/>
      <c r="U63" s="25"/>
      <c r="V63" s="25"/>
    </row>
    <row r="64" spans="1:22">
      <c r="A64" s="112" t="s">
        <v>3</v>
      </c>
      <c r="B64" s="101" t="s">
        <v>4</v>
      </c>
      <c r="C64" s="101" t="s">
        <v>5</v>
      </c>
      <c r="D64" s="101" t="s">
        <v>6</v>
      </c>
      <c r="E64" s="101" t="s">
        <v>7</v>
      </c>
      <c r="F64" s="101" t="s">
        <v>8</v>
      </c>
      <c r="G64" s="101" t="s">
        <v>9</v>
      </c>
      <c r="H64" s="101" t="s">
        <v>10</v>
      </c>
      <c r="I64" s="101" t="s">
        <v>11</v>
      </c>
      <c r="J64" s="101" t="s">
        <v>12</v>
      </c>
      <c r="K64" s="101" t="s">
        <v>67</v>
      </c>
      <c r="L64" s="101" t="s">
        <v>68</v>
      </c>
      <c r="M64" s="101" t="s">
        <v>15</v>
      </c>
      <c r="N64" s="101" t="s">
        <v>16</v>
      </c>
      <c r="O64" s="101" t="s">
        <v>17</v>
      </c>
      <c r="P64" s="101" t="s">
        <v>18</v>
      </c>
      <c r="Q64" s="101" t="s">
        <v>69</v>
      </c>
      <c r="R64" s="101" t="s">
        <v>44</v>
      </c>
      <c r="T64" s="25"/>
      <c r="U64" s="25"/>
      <c r="V64" s="25"/>
    </row>
    <row r="65" spans="1:22">
      <c r="A65" s="90" t="s">
        <v>89</v>
      </c>
      <c r="B65" s="101" t="s">
        <v>46</v>
      </c>
      <c r="C65" s="101" t="s">
        <v>46</v>
      </c>
      <c r="D65" s="101" t="s">
        <v>46</v>
      </c>
      <c r="E65" s="101" t="s">
        <v>46</v>
      </c>
      <c r="F65" s="101" t="s">
        <v>46</v>
      </c>
      <c r="G65" s="101" t="s">
        <v>46</v>
      </c>
      <c r="H65" s="101" t="s">
        <v>46</v>
      </c>
      <c r="I65" s="101" t="s">
        <v>46</v>
      </c>
      <c r="R65" s="101" t="s">
        <v>46</v>
      </c>
      <c r="T65" s="25"/>
      <c r="U65" s="25"/>
      <c r="V65" s="25"/>
    </row>
    <row r="66" spans="1:22">
      <c r="A66" s="97" t="s">
        <v>81</v>
      </c>
      <c r="B66" s="131">
        <f t="shared" ref="B66:D67" si="9">B39*$V$45</f>
        <v>10995</v>
      </c>
      <c r="C66" s="131">
        <f t="shared" si="9"/>
        <v>10250</v>
      </c>
      <c r="D66" s="131">
        <f t="shared" si="9"/>
        <v>12925</v>
      </c>
      <c r="E66" s="101">
        <f>SUM(B66:D66)</f>
        <v>34170</v>
      </c>
      <c r="F66" s="131">
        <f t="shared" ref="F66:H67" si="10">F39*$V$45</f>
        <v>16040</v>
      </c>
      <c r="G66" s="131">
        <f t="shared" si="10"/>
        <v>19360</v>
      </c>
      <c r="H66" s="131">
        <f t="shared" si="10"/>
        <v>20450</v>
      </c>
      <c r="I66" s="101">
        <f>F66+G66+H66</f>
        <v>55850</v>
      </c>
      <c r="J66" s="131">
        <f t="shared" ref="J66:L67" si="11">J39*$W$45</f>
        <v>19537.5</v>
      </c>
      <c r="K66" s="131">
        <f t="shared" si="11"/>
        <v>20187.5</v>
      </c>
      <c r="L66" s="131">
        <f t="shared" si="11"/>
        <v>19625</v>
      </c>
      <c r="M66" s="101">
        <f>J66+K66+L66</f>
        <v>59350</v>
      </c>
      <c r="N66" s="131">
        <f t="shared" ref="N66:P67" si="12">N39*$W$45</f>
        <v>15620</v>
      </c>
      <c r="O66" s="131">
        <f t="shared" si="12"/>
        <v>14065</v>
      </c>
      <c r="P66" s="131">
        <f t="shared" si="12"/>
        <v>10040</v>
      </c>
      <c r="Q66" s="101">
        <f>N66+O66+P66</f>
        <v>39725</v>
      </c>
      <c r="R66" s="101">
        <f>E66+I66+M66+Q66</f>
        <v>189095</v>
      </c>
    </row>
    <row r="67" spans="1:22">
      <c r="A67" s="97" t="s">
        <v>33</v>
      </c>
      <c r="B67" s="131">
        <f t="shared" si="9"/>
        <v>3360</v>
      </c>
      <c r="C67" s="131">
        <f t="shared" si="9"/>
        <v>3235</v>
      </c>
      <c r="D67" s="131">
        <f t="shared" si="9"/>
        <v>3970</v>
      </c>
      <c r="E67" s="101">
        <f>SUM(B67:D67)</f>
        <v>10565</v>
      </c>
      <c r="F67" s="131">
        <f t="shared" si="10"/>
        <v>5097</v>
      </c>
      <c r="G67" s="131">
        <f t="shared" si="10"/>
        <v>7128</v>
      </c>
      <c r="H67" s="131">
        <f t="shared" si="10"/>
        <v>6540</v>
      </c>
      <c r="I67" s="101">
        <f>F67+G67+H67</f>
        <v>18765</v>
      </c>
      <c r="J67" s="131">
        <f t="shared" si="11"/>
        <v>3115</v>
      </c>
      <c r="K67" s="131">
        <f t="shared" si="11"/>
        <v>3170</v>
      </c>
      <c r="L67" s="131">
        <f t="shared" si="11"/>
        <v>2800</v>
      </c>
      <c r="M67" s="101">
        <f>J67+K67+L67</f>
        <v>9085</v>
      </c>
      <c r="N67" s="131">
        <f t="shared" si="12"/>
        <v>2480</v>
      </c>
      <c r="O67" s="131">
        <f t="shared" si="12"/>
        <v>2195</v>
      </c>
      <c r="P67" s="131">
        <f t="shared" si="12"/>
        <v>2455</v>
      </c>
      <c r="Q67" s="101">
        <f>N67+O67+P67</f>
        <v>7130</v>
      </c>
      <c r="R67" s="101">
        <f>E67+I67+M67+Q67</f>
        <v>45545</v>
      </c>
    </row>
    <row r="68" spans="1:22">
      <c r="A68" s="91" t="s">
        <v>44</v>
      </c>
      <c r="B68" s="101">
        <f>SUM(B66:B67)</f>
        <v>14355</v>
      </c>
      <c r="C68" s="101">
        <f>SUM(C66:C67)</f>
        <v>13485</v>
      </c>
      <c r="D68" s="101">
        <f>SUM(D66:D67)</f>
        <v>16895</v>
      </c>
      <c r="E68" s="101">
        <f>SUM(E66:E67)</f>
        <v>44735</v>
      </c>
      <c r="F68" s="101">
        <f>F66+F67</f>
        <v>21137</v>
      </c>
      <c r="G68" s="101">
        <f>G66+G67</f>
        <v>26488</v>
      </c>
      <c r="H68" s="101">
        <f>H66+H67</f>
        <v>26990</v>
      </c>
      <c r="I68" s="101">
        <f>E68+F68+G68+H68</f>
        <v>119350</v>
      </c>
      <c r="J68" s="101">
        <f>J66+J67</f>
        <v>22652.5</v>
      </c>
      <c r="K68" s="101">
        <f>K66+K67</f>
        <v>23357.5</v>
      </c>
      <c r="L68" s="101">
        <f>L66+L67</f>
        <v>22425</v>
      </c>
      <c r="M68" s="101">
        <f>J68+K68+L68</f>
        <v>68435</v>
      </c>
      <c r="N68" s="101">
        <f>N66+N67</f>
        <v>18100</v>
      </c>
      <c r="O68" s="101">
        <f>O66+O67</f>
        <v>16260</v>
      </c>
      <c r="P68" s="101">
        <f>P66+P67</f>
        <v>12495</v>
      </c>
      <c r="Q68" s="101">
        <f>N68+O68+P68</f>
        <v>46855</v>
      </c>
      <c r="R68" s="101">
        <f>E68+I68+M68+Q68</f>
        <v>279375</v>
      </c>
    </row>
    <row r="69" spans="1:22">
      <c r="A69" s="90" t="s">
        <v>93</v>
      </c>
      <c r="B69" s="131"/>
      <c r="C69" s="131"/>
      <c r="D69" s="131"/>
      <c r="E69" s="101"/>
      <c r="F69" s="131"/>
      <c r="G69" s="131"/>
      <c r="H69" s="131"/>
      <c r="I69" s="101"/>
      <c r="J69" s="131"/>
      <c r="K69" s="131"/>
      <c r="L69" s="131"/>
      <c r="M69" s="101"/>
      <c r="N69" s="131"/>
      <c r="O69" s="131"/>
      <c r="P69" s="131"/>
      <c r="Q69" s="101"/>
      <c r="R69" s="101"/>
    </row>
    <row r="70" spans="1:22">
      <c r="A70" s="97" t="s">
        <v>30</v>
      </c>
      <c r="B70" s="131">
        <f t="shared" ref="B70:D73" si="13">B43*$V$46</f>
        <v>118604.466</v>
      </c>
      <c r="C70" s="131">
        <f t="shared" si="13"/>
        <v>105816.06</v>
      </c>
      <c r="D70" s="131">
        <f t="shared" si="13"/>
        <v>115139.79000000001</v>
      </c>
      <c r="E70" s="101">
        <f>SUM(B70:D70)</f>
        <v>339560.31599999999</v>
      </c>
      <c r="F70" s="131">
        <f t="shared" ref="F70:H71" si="14">F43*$V$46</f>
        <v>119663.73000000001</v>
      </c>
      <c r="G70" s="131">
        <f t="shared" si="14"/>
        <v>136760.913</v>
      </c>
      <c r="H70" s="131">
        <f t="shared" si="14"/>
        <v>137533.29300000001</v>
      </c>
      <c r="I70" s="101">
        <f>F70+G70+H70</f>
        <v>393957.93599999999</v>
      </c>
      <c r="J70" s="131">
        <f t="shared" ref="J70:L73" si="15">J43*$W$46</f>
        <v>138398.08049999998</v>
      </c>
      <c r="K70" s="131">
        <f t="shared" si="15"/>
        <v>132600.55350000001</v>
      </c>
      <c r="L70" s="131">
        <f t="shared" si="15"/>
        <v>126544.50300000001</v>
      </c>
      <c r="M70" s="101">
        <f>J70+K70+L70</f>
        <v>397543.13699999999</v>
      </c>
      <c r="N70" s="131">
        <f t="shared" ref="N70:P72" si="16">N43*$W$46</f>
        <v>117419.17349999999</v>
      </c>
      <c r="O70" s="131">
        <f t="shared" si="16"/>
        <v>100730.6565</v>
      </c>
      <c r="P70" s="131">
        <f t="shared" si="16"/>
        <v>98502.953999999998</v>
      </c>
      <c r="Q70" s="101">
        <f>N70+O70+P70</f>
        <v>316652.78399999999</v>
      </c>
      <c r="R70" s="101">
        <f>E70+I70+M70+Q70</f>
        <v>1447714.173</v>
      </c>
    </row>
    <row r="71" spans="1:22">
      <c r="A71" s="97" t="s">
        <v>31</v>
      </c>
      <c r="B71" s="131">
        <f t="shared" si="13"/>
        <v>70286.58</v>
      </c>
      <c r="C71" s="131">
        <f t="shared" si="13"/>
        <v>63859.275000000001</v>
      </c>
      <c r="D71" s="131">
        <f t="shared" si="13"/>
        <v>75279.464999999997</v>
      </c>
      <c r="E71" s="101">
        <f>SUM(B71:D71)</f>
        <v>209425.32</v>
      </c>
      <c r="F71" s="131">
        <f t="shared" si="14"/>
        <v>79840.184999999998</v>
      </c>
      <c r="G71" s="131">
        <f t="shared" si="14"/>
        <v>79242.510000000009</v>
      </c>
      <c r="H71" s="131">
        <f t="shared" si="14"/>
        <v>85715.790000000008</v>
      </c>
      <c r="I71" s="101">
        <f>F71+G71+H71</f>
        <v>244798.48500000002</v>
      </c>
      <c r="J71" s="131">
        <f t="shared" si="15"/>
        <v>35111.525000000001</v>
      </c>
      <c r="K71" s="131">
        <f t="shared" si="15"/>
        <v>74623.45</v>
      </c>
      <c r="L71" s="131">
        <f t="shared" si="15"/>
        <v>78482.967499999999</v>
      </c>
      <c r="M71" s="101">
        <f>J71+K71+L71</f>
        <v>188217.9425</v>
      </c>
      <c r="N71" s="131">
        <f t="shared" si="16"/>
        <v>71240.642500000002</v>
      </c>
      <c r="O71" s="131">
        <f t="shared" si="16"/>
        <v>69718.837500000009</v>
      </c>
      <c r="P71" s="131">
        <f t="shared" si="16"/>
        <v>63787.465000000004</v>
      </c>
      <c r="Q71" s="101">
        <f>N71+O71+P71</f>
        <v>204746.94500000001</v>
      </c>
      <c r="R71" s="101">
        <f>E71+I71+M71+Q71</f>
        <v>847188.69250000012</v>
      </c>
    </row>
    <row r="72" spans="1:22">
      <c r="A72" s="97" t="s">
        <v>81</v>
      </c>
      <c r="B72" s="131">
        <f t="shared" si="13"/>
        <v>16175.844000000001</v>
      </c>
      <c r="C72" s="131">
        <f t="shared" si="13"/>
        <v>15079.800000000001</v>
      </c>
      <c r="D72" s="131">
        <f t="shared" si="13"/>
        <v>19015.260000000002</v>
      </c>
      <c r="E72" s="101">
        <f>SUM(B72:D72)</f>
        <v>50270.904000000002</v>
      </c>
      <c r="F72" s="131">
        <f>45*$V$46</f>
        <v>1655.1000000000001</v>
      </c>
      <c r="G72" s="131">
        <f>G45*$V$46</f>
        <v>28482.432000000004</v>
      </c>
      <c r="H72" s="131">
        <f>H45*$V$46</f>
        <v>30086.04</v>
      </c>
      <c r="I72" s="101">
        <f>F72+G72+H72</f>
        <v>60223.572</v>
      </c>
      <c r="J72" s="131">
        <f t="shared" si="15"/>
        <v>28657.605</v>
      </c>
      <c r="K72" s="131">
        <f t="shared" si="15"/>
        <v>29611.025000000001</v>
      </c>
      <c r="L72" s="131">
        <f t="shared" si="15"/>
        <v>28785.95</v>
      </c>
      <c r="M72" s="101">
        <f>J72+K72+L72</f>
        <v>87054.58</v>
      </c>
      <c r="N72" s="131">
        <f t="shared" si="16"/>
        <v>22911.416000000005</v>
      </c>
      <c r="O72" s="131">
        <f t="shared" si="16"/>
        <v>20630.542000000001</v>
      </c>
      <c r="P72" s="131">
        <f t="shared" si="16"/>
        <v>14726.672000000002</v>
      </c>
      <c r="Q72" s="101">
        <f>N72+O72+P72</f>
        <v>58268.630000000005</v>
      </c>
      <c r="R72" s="101">
        <f>E72+I72+M72+Q72</f>
        <v>255817.68599999999</v>
      </c>
    </row>
    <row r="73" spans="1:22">
      <c r="A73" s="97" t="s">
        <v>33</v>
      </c>
      <c r="B73" s="131">
        <f t="shared" si="13"/>
        <v>6179.04</v>
      </c>
      <c r="C73" s="131">
        <f t="shared" si="13"/>
        <v>5949.165</v>
      </c>
      <c r="D73" s="131">
        <f t="shared" si="13"/>
        <v>7300.83</v>
      </c>
      <c r="E73" s="101">
        <f>SUM(B73:D73)</f>
        <v>19429.035</v>
      </c>
      <c r="F73" s="131">
        <f>F46*$V$46</f>
        <v>9373.3830000000016</v>
      </c>
      <c r="G73" s="131">
        <f>G46*$V$46</f>
        <v>13108.392</v>
      </c>
      <c r="H73" s="131">
        <f>H46*$V$46</f>
        <v>12027.06</v>
      </c>
      <c r="I73" s="101">
        <f>F73+G73+H73</f>
        <v>34508.834999999999</v>
      </c>
      <c r="J73" s="131">
        <f t="shared" si="15"/>
        <v>5711.3525</v>
      </c>
      <c r="K73" s="131">
        <f t="shared" si="15"/>
        <v>5812.1950000000006</v>
      </c>
      <c r="L73" s="131">
        <f t="shared" si="15"/>
        <v>5133.8</v>
      </c>
      <c r="M73" s="101">
        <f>J73+K73+L73</f>
        <v>16657.3475</v>
      </c>
      <c r="N73" s="131">
        <f>N46*$W$46</f>
        <v>4547.08</v>
      </c>
      <c r="O73" s="131">
        <f>P46*$W$46</f>
        <v>4501.2425000000003</v>
      </c>
      <c r="P73" s="131">
        <f>P46*$W$46</f>
        <v>4501.2425000000003</v>
      </c>
      <c r="Q73" s="101">
        <f>N73+O73+P73</f>
        <v>13549.565000000001</v>
      </c>
      <c r="R73" s="101">
        <f>E73+I73+M73+Q73</f>
        <v>84144.782500000001</v>
      </c>
    </row>
    <row r="74" spans="1:22">
      <c r="A74" s="91" t="s">
        <v>44</v>
      </c>
      <c r="B74" s="101">
        <f>SUM(B70:B73)</f>
        <v>211245.93000000002</v>
      </c>
      <c r="C74" s="101">
        <f>SUM(C70:C73)</f>
        <v>190704.3</v>
      </c>
      <c r="D74" s="101">
        <f>SUM(D70:D73)</f>
        <v>216735.345</v>
      </c>
      <c r="E74" s="101">
        <f>SUM(B74:D74)</f>
        <v>618685.57499999995</v>
      </c>
      <c r="F74" s="101">
        <f>F70+F71+F72+F73</f>
        <v>210532.39800000002</v>
      </c>
      <c r="G74" s="101">
        <f>G70+G71+G72+G73</f>
        <v>257594.247</v>
      </c>
      <c r="H74" s="101">
        <f>H70+H71+H72</f>
        <v>253335.12300000002</v>
      </c>
      <c r="I74" s="101">
        <f>F74+G74+H74</f>
        <v>721461.76800000004</v>
      </c>
      <c r="J74" s="101">
        <f>J70+J71+J72+J73</f>
        <v>207878.56299999999</v>
      </c>
      <c r="K74" s="101">
        <f>K70+K71+K72+K73</f>
        <v>242647.22349999999</v>
      </c>
      <c r="L74" s="101">
        <f>L70+L71+L72+L73</f>
        <v>238947.2205</v>
      </c>
      <c r="M74" s="101">
        <f>J74+K74+L74</f>
        <v>689473.00699999998</v>
      </c>
      <c r="N74" s="101">
        <f>N70+N71+N72+N73</f>
        <v>216118.31199999998</v>
      </c>
      <c r="O74" s="101">
        <f>O70+O71+O72+O73</f>
        <v>195581.27850000001</v>
      </c>
      <c r="P74" s="101">
        <f>P70++P72+P73</f>
        <v>117730.86850000001</v>
      </c>
      <c r="Q74" s="101">
        <f>N74+O74+P74</f>
        <v>529430.45900000003</v>
      </c>
      <c r="R74" s="101">
        <f>E74+M74+I74+Q74</f>
        <v>2559050.8090000004</v>
      </c>
    </row>
    <row r="75" spans="1:22">
      <c r="A75" s="90" t="s">
        <v>94</v>
      </c>
      <c r="B75" s="131"/>
      <c r="C75" s="131"/>
      <c r="D75" s="131"/>
      <c r="E75" s="101"/>
      <c r="F75" s="131"/>
      <c r="G75" s="131"/>
      <c r="H75" s="131"/>
      <c r="I75" s="101"/>
      <c r="J75" s="131"/>
      <c r="K75" s="131"/>
      <c r="L75" s="131"/>
      <c r="M75" s="101"/>
      <c r="N75" s="131"/>
      <c r="O75" s="131"/>
      <c r="P75" s="131"/>
      <c r="Q75" s="101"/>
      <c r="R75" s="101"/>
    </row>
    <row r="76" spans="1:22">
      <c r="A76" s="98" t="s">
        <v>30</v>
      </c>
      <c r="B76" s="95">
        <f t="shared" ref="B76:D79" si="17">B49*$V$47</f>
        <v>266.5752</v>
      </c>
      <c r="C76" s="95">
        <f t="shared" si="17"/>
        <v>237.83199999999999</v>
      </c>
      <c r="D76" s="95">
        <f t="shared" si="17"/>
        <v>258.78800000000001</v>
      </c>
      <c r="E76" s="96">
        <f>B76+C76+D76</f>
        <v>763.1952</v>
      </c>
      <c r="F76" s="95">
        <f t="shared" ref="F76:H79" si="18">F49*$V$47</f>
        <v>268.95600000000002</v>
      </c>
      <c r="G76" s="95">
        <f t="shared" si="18"/>
        <v>307.3836</v>
      </c>
      <c r="H76" s="95">
        <f t="shared" si="18"/>
        <v>309.11959999999999</v>
      </c>
      <c r="I76" s="96">
        <f>F76+G76+H76</f>
        <v>885.45920000000001</v>
      </c>
      <c r="J76" s="95">
        <f t="shared" ref="J76:L79" si="19">J49*$W$47</f>
        <v>301.93200000000002</v>
      </c>
      <c r="K76" s="95">
        <f t="shared" si="19"/>
        <v>289.28399999999999</v>
      </c>
      <c r="L76" s="95">
        <f t="shared" si="19"/>
        <v>276.072</v>
      </c>
      <c r="M76" s="96">
        <f>J76+K76+L76</f>
        <v>867.28800000000001</v>
      </c>
      <c r="N76" s="95">
        <f t="shared" ref="N76:P79" si="20">N49*$W$47</f>
        <v>256.16399999999999</v>
      </c>
      <c r="O76" s="95">
        <f t="shared" si="20"/>
        <v>219.756</v>
      </c>
      <c r="P76" s="95">
        <f t="shared" si="20"/>
        <v>214.89600000000002</v>
      </c>
      <c r="Q76" s="96">
        <f>N76+O76+P76</f>
        <v>690.81600000000003</v>
      </c>
      <c r="R76" s="96">
        <f>E76+I76+M76+Q76</f>
        <v>3206.7583999999997</v>
      </c>
    </row>
    <row r="77" spans="1:22">
      <c r="A77" s="98" t="s">
        <v>31</v>
      </c>
      <c r="B77" s="95">
        <f t="shared" si="17"/>
        <v>165.87479999999999</v>
      </c>
      <c r="C77" s="95">
        <f t="shared" si="17"/>
        <v>150.70650000000001</v>
      </c>
      <c r="D77" s="95">
        <f t="shared" si="17"/>
        <v>177.65789999999998</v>
      </c>
      <c r="E77" s="96">
        <f>B77+C77+D77</f>
        <v>494.23919999999998</v>
      </c>
      <c r="F77" s="95">
        <f t="shared" si="18"/>
        <v>188.4211</v>
      </c>
      <c r="G77" s="95">
        <f t="shared" si="18"/>
        <v>187.01059999999998</v>
      </c>
      <c r="H77" s="95">
        <f t="shared" si="18"/>
        <v>202.28739999999999</v>
      </c>
      <c r="I77" s="96">
        <f>F77+G77+H77</f>
        <v>577.71910000000003</v>
      </c>
      <c r="J77" s="95">
        <f t="shared" si="19"/>
        <v>80.430000000000007</v>
      </c>
      <c r="K77" s="95">
        <f t="shared" si="19"/>
        <v>170.94</v>
      </c>
      <c r="L77" s="95">
        <f t="shared" si="19"/>
        <v>179.78100000000001</v>
      </c>
      <c r="M77" s="96">
        <f>J77+K77+L77</f>
        <v>431.15100000000001</v>
      </c>
      <c r="N77" s="95">
        <f t="shared" si="20"/>
        <v>163.191</v>
      </c>
      <c r="O77" s="95">
        <f t="shared" si="20"/>
        <v>159.70500000000001</v>
      </c>
      <c r="P77" s="95">
        <f t="shared" si="20"/>
        <v>146.11799999999999</v>
      </c>
      <c r="Q77" s="96">
        <f>N77+O77+P77</f>
        <v>469.01400000000001</v>
      </c>
      <c r="R77" s="96">
        <f>E77+I77+M77+Q77</f>
        <v>1972.1233000000002</v>
      </c>
    </row>
    <row r="78" spans="1:22">
      <c r="A78" s="98" t="s">
        <v>81</v>
      </c>
      <c r="B78" s="95">
        <f t="shared" si="17"/>
        <v>40.901399999999995</v>
      </c>
      <c r="C78" s="95">
        <f t="shared" si="17"/>
        <v>38.129999999999995</v>
      </c>
      <c r="D78" s="95">
        <f t="shared" si="17"/>
        <v>48.080999999999996</v>
      </c>
      <c r="E78" s="96">
        <f>B78+C78+D78</f>
        <v>127.11239999999998</v>
      </c>
      <c r="F78" s="95">
        <f t="shared" si="18"/>
        <v>59.668799999999997</v>
      </c>
      <c r="G78" s="95">
        <f t="shared" si="18"/>
        <v>72.019199999999998</v>
      </c>
      <c r="H78" s="95">
        <f t="shared" si="18"/>
        <v>76.073999999999998</v>
      </c>
      <c r="I78" s="96">
        <f>F78+G78+H78</f>
        <v>207.762</v>
      </c>
      <c r="J78" s="95">
        <f t="shared" si="19"/>
        <v>70.335000000000008</v>
      </c>
      <c r="K78" s="95">
        <f t="shared" si="19"/>
        <v>72.674999999999997</v>
      </c>
      <c r="L78" s="95">
        <f t="shared" si="19"/>
        <v>70.650000000000006</v>
      </c>
      <c r="M78" s="96">
        <f>J78+K78+L78</f>
        <v>213.66</v>
      </c>
      <c r="N78" s="95">
        <f t="shared" si="20"/>
        <v>56.231999999999999</v>
      </c>
      <c r="O78" s="95">
        <f t="shared" si="20"/>
        <v>50.634</v>
      </c>
      <c r="P78" s="95">
        <f t="shared" si="20"/>
        <v>36.143999999999998</v>
      </c>
      <c r="Q78" s="96">
        <f>N78+O78+P78</f>
        <v>143.01</v>
      </c>
      <c r="R78" s="96">
        <f>E78+I78+M78+Q78</f>
        <v>691.5444</v>
      </c>
    </row>
    <row r="79" spans="1:22">
      <c r="A79" s="98" t="s">
        <v>33</v>
      </c>
      <c r="B79" s="95">
        <f t="shared" si="17"/>
        <v>16.665599999999998</v>
      </c>
      <c r="C79" s="95">
        <f t="shared" si="17"/>
        <v>16.0456</v>
      </c>
      <c r="D79" s="95">
        <f t="shared" si="17"/>
        <v>19.691199999999998</v>
      </c>
      <c r="E79" s="96">
        <f>B79+C79+D79</f>
        <v>52.4024</v>
      </c>
      <c r="F79" s="95">
        <f t="shared" si="18"/>
        <v>25.281120000000001</v>
      </c>
      <c r="G79" s="95">
        <f t="shared" si="18"/>
        <v>35.354879999999994</v>
      </c>
      <c r="H79" s="95">
        <f t="shared" si="18"/>
        <v>32.438400000000001</v>
      </c>
      <c r="I79" s="96">
        <f>F79+G79+H79</f>
        <v>93.074399999999997</v>
      </c>
      <c r="J79" s="95">
        <f t="shared" si="19"/>
        <v>14.952</v>
      </c>
      <c r="K79" s="95">
        <f t="shared" si="19"/>
        <v>15.216000000000001</v>
      </c>
      <c r="L79" s="95">
        <f t="shared" si="19"/>
        <v>13.44</v>
      </c>
      <c r="M79" s="96">
        <f>J79+K79+L79</f>
        <v>43.607999999999997</v>
      </c>
      <c r="N79" s="95">
        <f t="shared" si="20"/>
        <v>11.904</v>
      </c>
      <c r="O79" s="95">
        <f t="shared" si="20"/>
        <v>10.536</v>
      </c>
      <c r="P79" s="95">
        <f t="shared" si="20"/>
        <v>11.784000000000001</v>
      </c>
      <c r="Q79" s="96">
        <f>N79+O79+P79</f>
        <v>34.223999999999997</v>
      </c>
      <c r="R79" s="96">
        <f>E79+I79+M79+Q79</f>
        <v>223.30879999999999</v>
      </c>
    </row>
    <row r="80" spans="1:22">
      <c r="A80" s="89" t="s">
        <v>44</v>
      </c>
      <c r="B80" s="96">
        <f>SUM(B76:B79)</f>
        <v>490.017</v>
      </c>
      <c r="C80" s="96">
        <f>C76+C77+C78+C79</f>
        <v>442.71409999999997</v>
      </c>
      <c r="D80" s="96">
        <f>D76+D77+D78+D79</f>
        <v>504.21809999999999</v>
      </c>
      <c r="E80" s="96">
        <f>B80+C80+D80</f>
        <v>1436.9492</v>
      </c>
      <c r="F80" s="96">
        <f>F76+F77+F78+F79</f>
        <v>542.32702000000006</v>
      </c>
      <c r="G80" s="96">
        <f>G76+G77+G78+G79</f>
        <v>601.76827999999989</v>
      </c>
      <c r="H80" s="96">
        <f>H76+H77+H78+H79</f>
        <v>619.9194</v>
      </c>
      <c r="I80" s="96">
        <f>F80+G80+H80</f>
        <v>1764.0146999999999</v>
      </c>
      <c r="J80" s="96">
        <f>SUM(J76:J79)</f>
        <v>467.649</v>
      </c>
      <c r="K80" s="137">
        <f>SUM(K76:K79)</f>
        <v>548.11500000000001</v>
      </c>
      <c r="L80" s="96">
        <f>L76+L77+L78+L79</f>
        <v>539.9430000000001</v>
      </c>
      <c r="M80" s="96">
        <f>J80+K80+L80</f>
        <v>1555.7070000000001</v>
      </c>
      <c r="N80" s="96">
        <f>N76+N77+N78+N79</f>
        <v>487.49099999999999</v>
      </c>
      <c r="O80" s="96">
        <f>O76++O78+O79</f>
        <v>280.92599999999999</v>
      </c>
      <c r="P80" s="96">
        <f>P76+P77+P78+P79</f>
        <v>408.94200000000001</v>
      </c>
      <c r="Q80" s="96">
        <f>N80+O80+P80</f>
        <v>1177.3589999999999</v>
      </c>
      <c r="R80" s="96">
        <f>E80+I80+M80+Q80</f>
        <v>5934.0298999999995</v>
      </c>
    </row>
    <row r="81" spans="1:18">
      <c r="A81" s="87" t="s">
        <v>96</v>
      </c>
      <c r="B81" s="95"/>
      <c r="C81" s="95"/>
      <c r="D81" s="95"/>
      <c r="E81" s="96"/>
      <c r="F81" s="95"/>
      <c r="G81" s="95"/>
      <c r="H81" s="95"/>
      <c r="I81" s="96"/>
      <c r="J81" s="95"/>
      <c r="K81" s="95"/>
      <c r="L81" s="95"/>
      <c r="M81" s="96"/>
      <c r="N81" s="95"/>
      <c r="O81" s="95"/>
      <c r="P81" s="95"/>
      <c r="Q81" s="96"/>
      <c r="R81" s="96"/>
    </row>
    <row r="82" spans="1:18">
      <c r="A82" s="98" t="s">
        <v>30</v>
      </c>
      <c r="B82" s="95">
        <f t="shared" ref="B82:D85" si="21">B55*$V$48</f>
        <v>53745</v>
      </c>
      <c r="C82" s="95">
        <f t="shared" si="21"/>
        <v>47950</v>
      </c>
      <c r="D82" s="95">
        <f t="shared" si="21"/>
        <v>52175</v>
      </c>
      <c r="E82" s="96">
        <f>B82+C82+D82</f>
        <v>153870</v>
      </c>
      <c r="F82" s="95">
        <f t="shared" ref="F82:H85" si="22">F55*$V$48</f>
        <v>54225</v>
      </c>
      <c r="G82" s="95">
        <f t="shared" si="22"/>
        <v>61972.5</v>
      </c>
      <c r="H82" s="95">
        <f t="shared" si="22"/>
        <v>62322.5</v>
      </c>
      <c r="I82" s="96">
        <f>F82+G82+H82</f>
        <v>178520</v>
      </c>
      <c r="J82" s="95">
        <f t="shared" ref="J82:L84" si="23">J55*$W$48</f>
        <v>62902.5</v>
      </c>
      <c r="K82" s="95">
        <f t="shared" si="23"/>
        <v>60267.5</v>
      </c>
      <c r="L82" s="95">
        <f t="shared" si="23"/>
        <v>57515</v>
      </c>
      <c r="M82" s="96">
        <f>J82+K82+L82</f>
        <v>180685</v>
      </c>
      <c r="N82" s="95">
        <f t="shared" ref="N82:P85" si="24">N49*$W$48</f>
        <v>426940</v>
      </c>
      <c r="O82" s="95">
        <f t="shared" si="24"/>
        <v>366260</v>
      </c>
      <c r="P82" s="95">
        <f t="shared" si="24"/>
        <v>358160</v>
      </c>
      <c r="Q82" s="96">
        <f>N82+O82+P82</f>
        <v>1151360</v>
      </c>
      <c r="R82" s="96">
        <f>E82+I82+M82+Q82</f>
        <v>1664435</v>
      </c>
    </row>
    <row r="83" spans="1:18">
      <c r="A83" s="98" t="s">
        <v>31</v>
      </c>
      <c r="B83" s="95">
        <f t="shared" si="21"/>
        <v>38220</v>
      </c>
      <c r="C83" s="95">
        <f t="shared" si="21"/>
        <v>34725</v>
      </c>
      <c r="D83" s="95">
        <f t="shared" si="21"/>
        <v>40935</v>
      </c>
      <c r="E83" s="96">
        <f>B83+C83+D83</f>
        <v>113880</v>
      </c>
      <c r="F83" s="95">
        <f t="shared" si="22"/>
        <v>43415</v>
      </c>
      <c r="G83" s="95">
        <f t="shared" si="22"/>
        <v>43090</v>
      </c>
      <c r="H83" s="95">
        <f t="shared" si="22"/>
        <v>46610</v>
      </c>
      <c r="I83" s="96">
        <f>F83+G83+H83</f>
        <v>133115</v>
      </c>
      <c r="J83" s="95">
        <f t="shared" si="23"/>
        <v>19150</v>
      </c>
      <c r="K83" s="95">
        <f t="shared" si="23"/>
        <v>40700</v>
      </c>
      <c r="L83" s="95">
        <f t="shared" si="23"/>
        <v>42805</v>
      </c>
      <c r="M83" s="96">
        <f>J83+K83+L83</f>
        <v>102655</v>
      </c>
      <c r="N83" s="95">
        <f t="shared" si="24"/>
        <v>271985</v>
      </c>
      <c r="O83" s="95">
        <f t="shared" si="24"/>
        <v>266175</v>
      </c>
      <c r="P83" s="95">
        <f t="shared" si="24"/>
        <v>243530</v>
      </c>
      <c r="Q83" s="96">
        <f>N83+O83+P83</f>
        <v>781690</v>
      </c>
      <c r="R83" s="96">
        <f>E83+I83+M83+Q83</f>
        <v>1131340</v>
      </c>
    </row>
    <row r="84" spans="1:18">
      <c r="A84" s="98" t="s">
        <v>81</v>
      </c>
      <c r="B84" s="95">
        <f t="shared" si="21"/>
        <v>10995</v>
      </c>
      <c r="C84" s="95">
        <f t="shared" si="21"/>
        <v>10250</v>
      </c>
      <c r="D84" s="95">
        <f t="shared" si="21"/>
        <v>12925</v>
      </c>
      <c r="E84" s="96">
        <f>B84+C84+D84</f>
        <v>34170</v>
      </c>
      <c r="F84" s="95">
        <f t="shared" si="22"/>
        <v>16040</v>
      </c>
      <c r="G84" s="95">
        <f t="shared" si="22"/>
        <v>19360</v>
      </c>
      <c r="H84" s="95">
        <f t="shared" si="22"/>
        <v>20450</v>
      </c>
      <c r="I84" s="96">
        <f>F84+G84+H84</f>
        <v>55850</v>
      </c>
      <c r="J84" s="95">
        <f t="shared" si="23"/>
        <v>19537.5</v>
      </c>
      <c r="K84" s="95">
        <f t="shared" si="23"/>
        <v>20187.5</v>
      </c>
      <c r="L84" s="95">
        <f t="shared" si="23"/>
        <v>19625</v>
      </c>
      <c r="M84" s="96">
        <f>J84+K84+L84</f>
        <v>59350</v>
      </c>
      <c r="N84" s="95">
        <f t="shared" si="24"/>
        <v>93720</v>
      </c>
      <c r="O84" s="95">
        <f t="shared" si="24"/>
        <v>84390</v>
      </c>
      <c r="P84" s="95">
        <f t="shared" si="24"/>
        <v>60240</v>
      </c>
      <c r="Q84" s="96">
        <f>N84+O84+P84</f>
        <v>238350</v>
      </c>
      <c r="R84" s="96">
        <f>E84+I84+M84+Q84</f>
        <v>387720</v>
      </c>
    </row>
    <row r="85" spans="1:18">
      <c r="A85" s="98" t="s">
        <v>33</v>
      </c>
      <c r="B85" s="95">
        <f t="shared" si="21"/>
        <v>3360</v>
      </c>
      <c r="C85" s="95">
        <f t="shared" si="21"/>
        <v>3235</v>
      </c>
      <c r="D85" s="95">
        <f t="shared" si="21"/>
        <v>3970</v>
      </c>
      <c r="E85" s="96">
        <f>B85+C85+D85</f>
        <v>10565</v>
      </c>
      <c r="F85" s="95">
        <f t="shared" si="22"/>
        <v>5097</v>
      </c>
      <c r="G85" s="95">
        <f t="shared" si="22"/>
        <v>7128</v>
      </c>
      <c r="H85" s="95">
        <f t="shared" si="22"/>
        <v>6540</v>
      </c>
      <c r="I85" s="96">
        <f>F85+G85+H85</f>
        <v>18765</v>
      </c>
      <c r="J85" s="95">
        <f>J58*$W$48</f>
        <v>3115</v>
      </c>
      <c r="K85" s="95">
        <f>K58*$V$48</f>
        <v>3170</v>
      </c>
      <c r="L85" s="95">
        <f>L58*$W$48</f>
        <v>2800</v>
      </c>
      <c r="M85" s="96">
        <f>J85+K85+L85</f>
        <v>9085</v>
      </c>
      <c r="N85" s="95">
        <f t="shared" si="24"/>
        <v>19840</v>
      </c>
      <c r="O85" s="95">
        <f t="shared" si="24"/>
        <v>17560</v>
      </c>
      <c r="P85" s="95">
        <f t="shared" si="24"/>
        <v>19640</v>
      </c>
      <c r="Q85" s="96">
        <f>N85+O85+P85</f>
        <v>57040</v>
      </c>
      <c r="R85" s="96">
        <f>E85+I85+M85+Q85</f>
        <v>95455</v>
      </c>
    </row>
    <row r="86" spans="1:18">
      <c r="A86" s="89" t="s">
        <v>44</v>
      </c>
      <c r="B86" s="96">
        <f>SUM(B82:B85)</f>
        <v>106320</v>
      </c>
      <c r="C86" s="96">
        <f>C82+C83+C84+C85</f>
        <v>96160</v>
      </c>
      <c r="D86" s="96">
        <f>D82+D83+D84+D85</f>
        <v>110005</v>
      </c>
      <c r="E86" s="96">
        <f>B86+C86+D86</f>
        <v>312485</v>
      </c>
      <c r="F86" s="96">
        <f>F82+F83+F84</f>
        <v>113680</v>
      </c>
      <c r="G86" s="96">
        <f>G82+G83+G84+G85</f>
        <v>131550.5</v>
      </c>
      <c r="H86" s="96">
        <f>H82+H83+H84+H85</f>
        <v>135922.5</v>
      </c>
      <c r="I86" s="96">
        <f>F86+G86+H86</f>
        <v>381153</v>
      </c>
      <c r="J86" s="96">
        <f>J82+J83+J84+J85</f>
        <v>104705</v>
      </c>
      <c r="K86" s="96">
        <f>K82+K83+K84+K85</f>
        <v>124325</v>
      </c>
      <c r="L86" s="96">
        <f>L82+L83+L84+L85</f>
        <v>122745</v>
      </c>
      <c r="M86" s="96">
        <f>J86+K86+L86</f>
        <v>351775</v>
      </c>
      <c r="N86" s="96">
        <f>N82+N83+N84+N85</f>
        <v>812485</v>
      </c>
      <c r="O86" s="96">
        <f>O82+O83+O84+O85</f>
        <v>734385</v>
      </c>
      <c r="P86" s="96">
        <f>P82+P83+P84+P85</f>
        <v>681570</v>
      </c>
      <c r="Q86" s="96">
        <f>N86+O86+P86</f>
        <v>2228440</v>
      </c>
      <c r="R86" s="96">
        <f>E86+I86+M86+Q86</f>
        <v>3273853</v>
      </c>
    </row>
    <row r="91" spans="1:18">
      <c r="A91" s="83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</row>
    <row r="92" spans="1:18">
      <c r="A92" s="84" t="s">
        <v>107</v>
      </c>
      <c r="B92" s="68"/>
      <c r="C92" s="68"/>
      <c r="D92" s="67" t="s">
        <v>46</v>
      </c>
      <c r="E92" s="67" t="s">
        <v>46</v>
      </c>
      <c r="F92" s="82" t="s">
        <v>46</v>
      </c>
      <c r="G92" s="82" t="s">
        <v>46</v>
      </c>
      <c r="H92" s="82" t="s">
        <v>46</v>
      </c>
      <c r="I92" s="82" t="s">
        <v>46</v>
      </c>
      <c r="J92" s="82" t="s">
        <v>46</v>
      </c>
      <c r="K92" s="82" t="s">
        <v>46</v>
      </c>
      <c r="L92" s="82" t="s">
        <v>46</v>
      </c>
      <c r="M92" s="82" t="s">
        <v>46</v>
      </c>
      <c r="N92" s="82" t="s">
        <v>46</v>
      </c>
      <c r="O92" s="82" t="s">
        <v>46</v>
      </c>
      <c r="P92" s="82" t="s">
        <v>46</v>
      </c>
      <c r="Q92" s="82" t="s">
        <v>46</v>
      </c>
      <c r="R92" s="82" t="s">
        <v>46</v>
      </c>
    </row>
    <row r="93" spans="1:18">
      <c r="A93" s="83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</row>
    <row r="94" spans="1:18">
      <c r="A94" s="112" t="s">
        <v>3</v>
      </c>
      <c r="B94" s="101" t="s">
        <v>4</v>
      </c>
      <c r="C94" s="101" t="s">
        <v>5</v>
      </c>
      <c r="D94" s="101" t="s">
        <v>6</v>
      </c>
      <c r="E94" s="101" t="s">
        <v>7</v>
      </c>
      <c r="F94" s="101" t="s">
        <v>8</v>
      </c>
      <c r="G94" s="101" t="s">
        <v>9</v>
      </c>
      <c r="H94" s="101" t="s">
        <v>10</v>
      </c>
      <c r="I94" s="101" t="s">
        <v>11</v>
      </c>
      <c r="J94" s="101" t="s">
        <v>12</v>
      </c>
      <c r="K94" s="101" t="s">
        <v>67</v>
      </c>
      <c r="L94" s="101" t="s">
        <v>68</v>
      </c>
      <c r="M94" s="101" t="s">
        <v>15</v>
      </c>
      <c r="N94" s="101" t="s">
        <v>16</v>
      </c>
      <c r="O94" s="101" t="s">
        <v>17</v>
      </c>
      <c r="P94" s="101" t="s">
        <v>18</v>
      </c>
      <c r="Q94" s="101" t="s">
        <v>69</v>
      </c>
      <c r="R94" s="101" t="s">
        <v>44</v>
      </c>
    </row>
    <row r="95" spans="1:18">
      <c r="A95" s="85" t="s">
        <v>89</v>
      </c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</row>
    <row r="96" spans="1:18">
      <c r="A96" s="94" t="s">
        <v>108</v>
      </c>
      <c r="B96" s="131">
        <f>B41*0.1</f>
        <v>287.10000000000002</v>
      </c>
      <c r="C96" s="131">
        <f>B97</f>
        <v>269.7</v>
      </c>
      <c r="D96" s="131">
        <f>C97</f>
        <v>337.90000000000003</v>
      </c>
      <c r="E96" s="101">
        <f>SUM(B96:D96)</f>
        <v>894.7</v>
      </c>
      <c r="F96" s="131">
        <f>D97</f>
        <v>634.1099999999999</v>
      </c>
      <c r="G96" s="131">
        <f t="shared" ref="G96:O96" si="25">F97</f>
        <v>794.64</v>
      </c>
      <c r="H96" s="131">
        <f t="shared" si="25"/>
        <v>809.69999999999993</v>
      </c>
      <c r="I96" s="101">
        <f>SUM(F96:H96)</f>
        <v>2238.4499999999998</v>
      </c>
      <c r="J96" s="131">
        <f>$H$97</f>
        <v>906.1</v>
      </c>
      <c r="K96" s="131">
        <f t="shared" si="25"/>
        <v>934.30000000000007</v>
      </c>
      <c r="L96" s="131">
        <f t="shared" si="25"/>
        <v>897</v>
      </c>
      <c r="M96" s="101">
        <f>SUM(J96:L96)</f>
        <v>2737.4</v>
      </c>
      <c r="N96" s="131">
        <f>$L$97</f>
        <v>2053.0499999999997</v>
      </c>
      <c r="O96" s="131">
        <f t="shared" si="25"/>
        <v>487.79999999999995</v>
      </c>
      <c r="P96" s="131">
        <f>O97</f>
        <v>249.9</v>
      </c>
      <c r="Q96" s="101">
        <f>SUM(N96:P96)</f>
        <v>2790.7499999999995</v>
      </c>
      <c r="R96" s="101">
        <f>Q96+M96+I96+E96</f>
        <v>8661.2999999999993</v>
      </c>
    </row>
    <row r="97" spans="1:18">
      <c r="A97" s="94" t="s">
        <v>109</v>
      </c>
      <c r="B97" s="131">
        <f>C41*0.1</f>
        <v>269.7</v>
      </c>
      <c r="C97" s="131">
        <f>D41*0.1</f>
        <v>337.90000000000003</v>
      </c>
      <c r="D97" s="131">
        <f>F41*0.15</f>
        <v>634.1099999999999</v>
      </c>
      <c r="E97" s="101">
        <f>SUM(B97:D97)</f>
        <v>1241.71</v>
      </c>
      <c r="F97" s="131">
        <f>G41*0.15</f>
        <v>794.64</v>
      </c>
      <c r="G97" s="131">
        <f>H41*0.15</f>
        <v>809.69999999999993</v>
      </c>
      <c r="H97" s="131">
        <f>J41*0.2</f>
        <v>906.1</v>
      </c>
      <c r="I97" s="101">
        <f>SUM(F97:H97)</f>
        <v>2510.44</v>
      </c>
      <c r="J97" s="131">
        <f>K41*0.2</f>
        <v>934.30000000000007</v>
      </c>
      <c r="K97" s="131">
        <f>L41*0.2</f>
        <v>897</v>
      </c>
      <c r="L97" s="131">
        <f>M41*0.15</f>
        <v>2053.0499999999997</v>
      </c>
      <c r="M97" s="101">
        <f>SUM(J97:L97)</f>
        <v>3884.35</v>
      </c>
      <c r="N97" s="131">
        <f>O41*0.15</f>
        <v>487.79999999999995</v>
      </c>
      <c r="O97" s="131">
        <f>P41*0.1</f>
        <v>249.9</v>
      </c>
      <c r="P97" s="131">
        <f>B41*0.1</f>
        <v>287.10000000000002</v>
      </c>
      <c r="Q97" s="101">
        <f>SUM(N97:P97)</f>
        <v>1024.8</v>
      </c>
      <c r="R97" s="101">
        <f>SUM(Q97+M97+I97+E97)</f>
        <v>8661.2999999999993</v>
      </c>
    </row>
    <row r="98" spans="1:18">
      <c r="A98" s="94" t="s">
        <v>110</v>
      </c>
      <c r="B98" s="131">
        <f>B97</f>
        <v>269.7</v>
      </c>
      <c r="C98" s="131">
        <f>C97</f>
        <v>337.90000000000003</v>
      </c>
      <c r="D98" s="131">
        <f>D97</f>
        <v>634.1099999999999</v>
      </c>
      <c r="E98" s="101">
        <f>SUM(B98:D98)</f>
        <v>1241.71</v>
      </c>
      <c r="F98" s="131">
        <f t="shared" ref="F98:R98" si="26">F97</f>
        <v>794.64</v>
      </c>
      <c r="G98" s="131">
        <f t="shared" si="26"/>
        <v>809.69999999999993</v>
      </c>
      <c r="H98" s="131">
        <f t="shared" si="26"/>
        <v>906.1</v>
      </c>
      <c r="I98" s="101">
        <f t="shared" si="26"/>
        <v>2510.44</v>
      </c>
      <c r="J98" s="131">
        <f t="shared" si="26"/>
        <v>934.30000000000007</v>
      </c>
      <c r="K98" s="131">
        <f t="shared" si="26"/>
        <v>897</v>
      </c>
      <c r="L98" s="131">
        <f t="shared" si="26"/>
        <v>2053.0499999999997</v>
      </c>
      <c r="M98" s="101">
        <f t="shared" si="26"/>
        <v>3884.35</v>
      </c>
      <c r="N98" s="131">
        <f t="shared" si="26"/>
        <v>487.79999999999995</v>
      </c>
      <c r="O98" s="131">
        <f t="shared" si="26"/>
        <v>249.9</v>
      </c>
      <c r="P98" s="131">
        <f t="shared" si="26"/>
        <v>287.10000000000002</v>
      </c>
      <c r="Q98" s="101">
        <f t="shared" si="26"/>
        <v>1024.8</v>
      </c>
      <c r="R98" s="101">
        <f t="shared" si="26"/>
        <v>8661.2999999999993</v>
      </c>
    </row>
    <row r="99" spans="1:18">
      <c r="A99" s="88" t="s">
        <v>111</v>
      </c>
      <c r="B99" s="139">
        <f>SUM(B41+B97-B96)</f>
        <v>2853.6</v>
      </c>
      <c r="C99" s="139">
        <f>SUM(C41+C97-C96)</f>
        <v>2765.2000000000003</v>
      </c>
      <c r="D99" s="139">
        <f>SUM(D41+D97-D96)</f>
        <v>3675.2099999999996</v>
      </c>
      <c r="E99" s="138">
        <f>SUM(B99:D99)</f>
        <v>9294.01</v>
      </c>
      <c r="F99" s="139">
        <f>F41+F97-F96</f>
        <v>4387.93</v>
      </c>
      <c r="G99" s="139">
        <f>G41+G97-G96</f>
        <v>5312.66</v>
      </c>
      <c r="H99" s="139">
        <f>H41+H97-H96</f>
        <v>5494.4000000000005</v>
      </c>
      <c r="I99" s="138">
        <f>SUM(F99:H99)</f>
        <v>15194.990000000002</v>
      </c>
      <c r="J99" s="139">
        <f>J41+J97-J96</f>
        <v>4558.7</v>
      </c>
      <c r="K99" s="139">
        <f>K41+K97-K96</f>
        <v>4634.2</v>
      </c>
      <c r="L99" s="139">
        <f>L41+L97-L96</f>
        <v>5641.0499999999993</v>
      </c>
      <c r="M99" s="138">
        <f>SUM(J99:L99)</f>
        <v>14833.949999999999</v>
      </c>
      <c r="N99" s="139">
        <f>N41+N97-N96</f>
        <v>2054.7500000000005</v>
      </c>
      <c r="O99" s="139">
        <f>O41+O97-O96</f>
        <v>3014.1000000000004</v>
      </c>
      <c r="P99" s="139">
        <f>P41+P97-P96</f>
        <v>2536.1999999999998</v>
      </c>
      <c r="Q99" s="138">
        <f>SUM(N99:P99)</f>
        <v>7605.05</v>
      </c>
      <c r="R99" s="138">
        <f>Q99+M99+I99+E99</f>
        <v>46928.000000000007</v>
      </c>
    </row>
    <row r="100" spans="1:18">
      <c r="A100" s="85" t="s">
        <v>93</v>
      </c>
      <c r="B100" s="131"/>
      <c r="C100" s="131"/>
      <c r="D100" s="131"/>
      <c r="E100" s="101"/>
      <c r="F100" s="131"/>
      <c r="G100" s="131"/>
      <c r="H100" s="131"/>
      <c r="I100" s="101"/>
      <c r="J100" s="131"/>
      <c r="K100" s="131"/>
      <c r="L100" s="131"/>
      <c r="M100" s="101"/>
      <c r="N100" s="131"/>
      <c r="O100" s="131"/>
      <c r="P100" s="131"/>
      <c r="Q100" s="101"/>
      <c r="R100" s="101"/>
    </row>
    <row r="101" spans="1:18">
      <c r="A101" s="94" t="s">
        <v>108</v>
      </c>
      <c r="B101" s="131">
        <f>B47*0.05</f>
        <v>287.17500000000001</v>
      </c>
      <c r="C101" s="131">
        <f>B102</f>
        <v>518.5</v>
      </c>
      <c r="D101" s="131">
        <f>C102</f>
        <v>589.27499999999998</v>
      </c>
      <c r="E101" s="101">
        <f>SUM(B101:D101)</f>
        <v>1394.9499999999998</v>
      </c>
      <c r="F101" s="131">
        <f>D102</f>
        <v>948.10500000000002</v>
      </c>
      <c r="G101" s="131">
        <f t="shared" ref="G101:P101" si="27">F102</f>
        <v>1750.9124999999999</v>
      </c>
      <c r="H101" s="131">
        <f t="shared" si="27"/>
        <v>1803.7125000000001</v>
      </c>
      <c r="I101" s="101">
        <f>H101+G101+F101</f>
        <v>4502.7299999999996</v>
      </c>
      <c r="J101" s="131">
        <f>$H$102</f>
        <v>5134.8</v>
      </c>
      <c r="K101" s="131">
        <f t="shared" si="27"/>
        <v>1654.2624999999998</v>
      </c>
      <c r="L101" s="131">
        <f t="shared" si="27"/>
        <v>1303.23</v>
      </c>
      <c r="M101" s="101">
        <f>L101+K101+J101</f>
        <v>8092.2924999999996</v>
      </c>
      <c r="N101" s="131">
        <f>$L$102</f>
        <v>884.03999999999985</v>
      </c>
      <c r="O101" s="131">
        <f t="shared" si="27"/>
        <v>798.08249999999998</v>
      </c>
      <c r="P101" s="131">
        <f t="shared" si="27"/>
        <v>495.00500000000005</v>
      </c>
      <c r="Q101" s="101">
        <f>P101+O101+N101</f>
        <v>2177.1275000000001</v>
      </c>
      <c r="R101" s="101">
        <f>Q101+M101+I101+E101</f>
        <v>16167.099999999999</v>
      </c>
    </row>
    <row r="102" spans="1:18">
      <c r="A102" s="94" t="s">
        <v>109</v>
      </c>
      <c r="B102" s="131">
        <f>C47*0.1</f>
        <v>518.5</v>
      </c>
      <c r="C102" s="131">
        <f>D47*0.1</f>
        <v>589.27499999999998</v>
      </c>
      <c r="D102" s="131">
        <f>F47*0.15</f>
        <v>948.10500000000002</v>
      </c>
      <c r="E102" s="101">
        <f>SUM(B102:D102)</f>
        <v>2055.88</v>
      </c>
      <c r="F102" s="131">
        <f>G47*0.25</f>
        <v>1750.9124999999999</v>
      </c>
      <c r="G102" s="131">
        <f>H47*0.25</f>
        <v>1803.7125000000001</v>
      </c>
      <c r="H102" s="131">
        <f>I47*0.25</f>
        <v>5134.8</v>
      </c>
      <c r="I102" s="101">
        <f>H102+G102+F102</f>
        <v>8689.4250000000011</v>
      </c>
      <c r="J102" s="131">
        <f>K47*0.25</f>
        <v>1654.2624999999998</v>
      </c>
      <c r="K102" s="131">
        <f>L47*0.2</f>
        <v>1303.23</v>
      </c>
      <c r="L102" s="131">
        <f>N47*0.15</f>
        <v>884.03999999999985</v>
      </c>
      <c r="M102" s="101">
        <f>L102+K102+J102</f>
        <v>3841.5324999999998</v>
      </c>
      <c r="N102" s="131">
        <f>O47*0.15</f>
        <v>798.08249999999998</v>
      </c>
      <c r="O102" s="131">
        <f>P47*0.1</f>
        <v>495.00500000000005</v>
      </c>
      <c r="P102" s="131">
        <f>B47*0.1</f>
        <v>574.35</v>
      </c>
      <c r="Q102" s="101">
        <f>P102+O102+N102</f>
        <v>1867.4375</v>
      </c>
      <c r="R102" s="101">
        <f>Q102+M102+I102+E102</f>
        <v>16454.275000000001</v>
      </c>
    </row>
    <row r="103" spans="1:18">
      <c r="A103" s="94" t="s">
        <v>110</v>
      </c>
      <c r="B103" s="131">
        <f>B102</f>
        <v>518.5</v>
      </c>
      <c r="C103" s="131">
        <f>C102</f>
        <v>589.27499999999998</v>
      </c>
      <c r="D103" s="131">
        <f>D102</f>
        <v>948.10500000000002</v>
      </c>
      <c r="E103" s="101">
        <f>SUM(B103:D103)</f>
        <v>2055.88</v>
      </c>
      <c r="F103" s="131">
        <f t="shared" ref="F103:R103" si="28">F102</f>
        <v>1750.9124999999999</v>
      </c>
      <c r="G103" s="131">
        <f t="shared" si="28"/>
        <v>1803.7125000000001</v>
      </c>
      <c r="H103" s="131">
        <f t="shared" si="28"/>
        <v>5134.8</v>
      </c>
      <c r="I103" s="101">
        <f t="shared" si="28"/>
        <v>8689.4250000000011</v>
      </c>
      <c r="J103" s="131">
        <f t="shared" si="28"/>
        <v>1654.2624999999998</v>
      </c>
      <c r="K103" s="131">
        <f t="shared" si="28"/>
        <v>1303.23</v>
      </c>
      <c r="L103" s="131">
        <f t="shared" si="28"/>
        <v>884.03999999999985</v>
      </c>
      <c r="M103" s="101">
        <f t="shared" si="28"/>
        <v>3841.5324999999998</v>
      </c>
      <c r="N103" s="131">
        <f t="shared" si="28"/>
        <v>798.08249999999998</v>
      </c>
      <c r="O103" s="131">
        <f t="shared" si="28"/>
        <v>495.00500000000005</v>
      </c>
      <c r="P103" s="131">
        <f t="shared" si="28"/>
        <v>574.35</v>
      </c>
      <c r="Q103" s="101">
        <f t="shared" si="28"/>
        <v>1867.4375</v>
      </c>
      <c r="R103" s="101">
        <f t="shared" si="28"/>
        <v>16454.275000000001</v>
      </c>
    </row>
    <row r="104" spans="1:18">
      <c r="A104" s="88" t="s">
        <v>111</v>
      </c>
      <c r="B104" s="139">
        <f>SUM(B47+B102-B101)</f>
        <v>5974.8249999999998</v>
      </c>
      <c r="C104" s="139">
        <f>SUM(C47+C102-C101)</f>
        <v>5255.7749999999996</v>
      </c>
      <c r="D104" s="139">
        <f>SUM(D47+D102-D101)</f>
        <v>6251.58</v>
      </c>
      <c r="E104" s="138">
        <f>SUM(B104:D104)</f>
        <v>17482.18</v>
      </c>
      <c r="F104" s="139">
        <f>F47+F102-F101</f>
        <v>7123.5075000000015</v>
      </c>
      <c r="G104" s="139">
        <f>G47+G102-G101</f>
        <v>7056.4499999999989</v>
      </c>
      <c r="H104" s="139">
        <f>H47+H102-H101</f>
        <v>10545.937500000002</v>
      </c>
      <c r="I104" s="138">
        <f>H104+G104+F104</f>
        <v>24725.895000000004</v>
      </c>
      <c r="J104" s="139">
        <f>J47+J102-J101</f>
        <v>2188.3624999999993</v>
      </c>
      <c r="K104" s="139">
        <f>K47+K102-K101</f>
        <v>6266.017499999999</v>
      </c>
      <c r="L104" s="139">
        <f>L47+L102-L101</f>
        <v>6096.9599999999991</v>
      </c>
      <c r="M104" s="138">
        <f>L104+K104+J104</f>
        <v>14551.339999999997</v>
      </c>
      <c r="N104" s="139">
        <f>N47+N102-N101</f>
        <v>5807.642499999999</v>
      </c>
      <c r="O104" s="139">
        <f>O47+O102-O101</f>
        <v>5017.4724999999999</v>
      </c>
      <c r="P104" s="139">
        <f>P47+P102-P101</f>
        <v>5029.3950000000004</v>
      </c>
      <c r="Q104" s="138">
        <f>P104+O104+N104</f>
        <v>15854.509999999998</v>
      </c>
      <c r="R104" s="101">
        <f>R101+R102+R103</f>
        <v>49075.65</v>
      </c>
    </row>
    <row r="105" spans="1:18">
      <c r="A105" s="85" t="s">
        <v>94</v>
      </c>
      <c r="B105" s="131"/>
      <c r="C105" s="131"/>
      <c r="D105" s="131"/>
      <c r="E105" s="101"/>
      <c r="F105" s="131"/>
      <c r="G105" s="131"/>
      <c r="H105" s="131"/>
      <c r="I105" s="101"/>
      <c r="J105" s="131"/>
      <c r="K105" s="131"/>
      <c r="L105" s="131"/>
      <c r="M105" s="101"/>
      <c r="N105" s="131"/>
      <c r="O105" s="131"/>
      <c r="P105" s="131"/>
      <c r="Q105" s="101"/>
      <c r="R105" s="101"/>
    </row>
    <row r="106" spans="1:18">
      <c r="A106" s="94" t="s">
        <v>108</v>
      </c>
      <c r="B106" s="131">
        <f>B53*0.1</f>
        <v>15807</v>
      </c>
      <c r="C106" s="131">
        <f>B107</f>
        <v>14281.1</v>
      </c>
      <c r="D106" s="131">
        <f>C107</f>
        <v>16265.1</v>
      </c>
      <c r="E106" s="101">
        <f>SUM(B106:D106)</f>
        <v>46353.2</v>
      </c>
      <c r="F106" s="131">
        <f>D107</f>
        <v>26241.63</v>
      </c>
      <c r="G106" s="131">
        <f>F107</f>
        <v>38823.760000000002</v>
      </c>
      <c r="H106" s="131">
        <f>G107</f>
        <v>39994.800000000003</v>
      </c>
      <c r="I106" s="101">
        <f>F106+G106+H106</f>
        <v>105060.19</v>
      </c>
      <c r="J106" s="131">
        <f>H107</f>
        <v>31176.600000000002</v>
      </c>
      <c r="K106" s="131">
        <f>J107</f>
        <v>36541</v>
      </c>
      <c r="L106" s="131">
        <f>K107</f>
        <v>35996.200000000004</v>
      </c>
      <c r="M106" s="101">
        <f>J106+K106+L106</f>
        <v>103713.80000000002</v>
      </c>
      <c r="N106" s="131">
        <f>L107</f>
        <v>24374.55</v>
      </c>
      <c r="O106" s="131">
        <f>N107</f>
        <v>22031.55</v>
      </c>
      <c r="P106" s="131">
        <f>O107</f>
        <v>13631.400000000001</v>
      </c>
      <c r="Q106" s="101">
        <f>N106+O106+P106</f>
        <v>60037.5</v>
      </c>
      <c r="R106" s="101">
        <f>Q106+M106+I106+E106</f>
        <v>315164.69</v>
      </c>
    </row>
    <row r="107" spans="1:18">
      <c r="A107" s="94" t="s">
        <v>109</v>
      </c>
      <c r="B107" s="131">
        <f>C53*0.1</f>
        <v>14281.1</v>
      </c>
      <c r="C107" s="131">
        <f>D53*0.1</f>
        <v>16265.1</v>
      </c>
      <c r="D107" s="131">
        <f>F53*0.15</f>
        <v>26241.63</v>
      </c>
      <c r="E107" s="101">
        <f>SUM(B107:D107)</f>
        <v>56787.83</v>
      </c>
      <c r="F107" s="131">
        <f>G53*0.2</f>
        <v>38823.760000000002</v>
      </c>
      <c r="G107" s="131">
        <f>H53*0.2</f>
        <v>39994.800000000003</v>
      </c>
      <c r="H107" s="131">
        <f>J53*0.2</f>
        <v>31176.600000000002</v>
      </c>
      <c r="I107" s="101">
        <f>F107+G107+H107</f>
        <v>109995.16</v>
      </c>
      <c r="J107" s="131">
        <f>K53*0.2</f>
        <v>36541</v>
      </c>
      <c r="K107" s="131">
        <f>L53*0.2</f>
        <v>35996.200000000004</v>
      </c>
      <c r="L107" s="131">
        <f>N53*0.15</f>
        <v>24374.55</v>
      </c>
      <c r="M107" s="101">
        <f>J107+K107+L107</f>
        <v>96911.750000000015</v>
      </c>
      <c r="N107" s="131">
        <f>O53*0.15</f>
        <v>22031.55</v>
      </c>
      <c r="O107" s="131">
        <f>P53*0.1</f>
        <v>13631.400000000001</v>
      </c>
      <c r="P107" s="131">
        <f>B53*0.1</f>
        <v>15807</v>
      </c>
      <c r="Q107" s="101">
        <f>N107+O107+P107</f>
        <v>51469.95</v>
      </c>
      <c r="R107" s="101">
        <f>Q107+M107+I107+E107</f>
        <v>315164.69</v>
      </c>
    </row>
    <row r="108" spans="1:18">
      <c r="A108" s="94" t="s">
        <v>110</v>
      </c>
      <c r="B108" s="131">
        <f>B107</f>
        <v>14281.1</v>
      </c>
      <c r="C108" s="131">
        <f>C107</f>
        <v>16265.1</v>
      </c>
      <c r="D108" s="131">
        <f>D107</f>
        <v>26241.63</v>
      </c>
      <c r="E108" s="101">
        <f>SUM(B108:D108)</f>
        <v>56787.83</v>
      </c>
      <c r="F108" s="131">
        <f>F107</f>
        <v>38823.760000000002</v>
      </c>
      <c r="G108" s="131">
        <f>G107</f>
        <v>39994.800000000003</v>
      </c>
      <c r="H108" s="131">
        <f>H107</f>
        <v>31176.600000000002</v>
      </c>
      <c r="I108" s="101">
        <f>F108+G108+H108</f>
        <v>109995.16</v>
      </c>
      <c r="J108" s="131">
        <f>J107</f>
        <v>36541</v>
      </c>
      <c r="K108" s="131">
        <f>K107</f>
        <v>35996.200000000004</v>
      </c>
      <c r="L108" s="131">
        <f>L107</f>
        <v>24374.55</v>
      </c>
      <c r="M108" s="101">
        <f>J108+K108+L108</f>
        <v>96911.750000000015</v>
      </c>
      <c r="N108" s="131">
        <f>N107</f>
        <v>22031.55</v>
      </c>
      <c r="O108" s="131">
        <f>O107</f>
        <v>13631.400000000001</v>
      </c>
      <c r="P108" s="131">
        <f>P107</f>
        <v>15807</v>
      </c>
      <c r="Q108" s="101">
        <f>N108+O108+P108</f>
        <v>51469.95</v>
      </c>
      <c r="R108" s="101">
        <f>Q108+M108+I108+E108</f>
        <v>315164.69</v>
      </c>
    </row>
    <row r="109" spans="1:18">
      <c r="A109" s="88" t="s">
        <v>111</v>
      </c>
      <c r="B109" s="139">
        <f>SUM(B53+B107-B106)</f>
        <v>156544.1</v>
      </c>
      <c r="C109" s="139">
        <f>SUM(C53+C107-C106)</f>
        <v>144795</v>
      </c>
      <c r="D109" s="139">
        <f>SUM(D53+D107-D106)</f>
        <v>172627.53</v>
      </c>
      <c r="E109" s="138">
        <f>SUM(B109:D109)</f>
        <v>473966.63</v>
      </c>
      <c r="F109" s="139">
        <f>F53+F107-F106</f>
        <v>187526.33000000002</v>
      </c>
      <c r="G109" s="139">
        <f>H53+G107-G106</f>
        <v>201145.03999999998</v>
      </c>
      <c r="H109" s="139">
        <f>H53+H107-H106</f>
        <v>191155.8</v>
      </c>
      <c r="I109" s="138">
        <f>F109+G109+H109</f>
        <v>579827.16999999993</v>
      </c>
      <c r="J109" s="139">
        <f>J53+J107-J106</f>
        <v>161247.4</v>
      </c>
      <c r="K109" s="139">
        <f>K53+K107-K106</f>
        <v>182160.2</v>
      </c>
      <c r="L109" s="139">
        <f>L53+L107-L106</f>
        <v>168359.34999999998</v>
      </c>
      <c r="M109" s="138">
        <f>J109+K109+L110</f>
        <v>343407.6</v>
      </c>
      <c r="N109" s="139">
        <f>N53+N107-N106</f>
        <v>160154</v>
      </c>
      <c r="O109" s="139">
        <f>O53+O107-O106</f>
        <v>138476.85</v>
      </c>
      <c r="P109" s="139">
        <f>P59+P107-P106</f>
        <v>20586.599999999999</v>
      </c>
      <c r="Q109" s="138">
        <f>N109+O109+P109</f>
        <v>319217.44999999995</v>
      </c>
      <c r="R109" s="138">
        <f>R106+R107+R108</f>
        <v>945494.07000000007</v>
      </c>
    </row>
    <row r="110" spans="1:18">
      <c r="A110" s="85" t="s">
        <v>96</v>
      </c>
      <c r="B110" s="131"/>
      <c r="C110" s="131"/>
      <c r="D110" s="131"/>
      <c r="E110" s="101"/>
      <c r="F110" s="131"/>
      <c r="G110" s="131"/>
      <c r="H110" s="131"/>
      <c r="I110" s="101"/>
      <c r="J110" s="131"/>
      <c r="K110" s="131"/>
      <c r="L110" s="131"/>
      <c r="M110" s="101"/>
      <c r="N110" s="131"/>
      <c r="O110" s="131"/>
      <c r="P110" s="131"/>
      <c r="Q110" s="101"/>
      <c r="R110" s="101"/>
    </row>
    <row r="111" spans="1:18">
      <c r="A111" s="94" t="s">
        <v>108</v>
      </c>
      <c r="B111" s="131">
        <f>B59*0.05</f>
        <v>1063.2</v>
      </c>
      <c r="C111" s="131">
        <f>B112</f>
        <v>1923.2</v>
      </c>
      <c r="D111" s="131">
        <f>C112</f>
        <v>2200.1</v>
      </c>
      <c r="E111" s="101">
        <f>SUM(B111:D111)</f>
        <v>5186.5</v>
      </c>
      <c r="F111" s="131">
        <f>D112</f>
        <v>3563.31</v>
      </c>
      <c r="G111" s="131">
        <f>F112</f>
        <v>6577.5249999999996</v>
      </c>
      <c r="H111" s="131">
        <f>G112</f>
        <v>6796.125</v>
      </c>
      <c r="I111" s="101">
        <f>F111+G111+H111</f>
        <v>16936.96</v>
      </c>
      <c r="J111" s="131">
        <f>H112</f>
        <v>12516.375</v>
      </c>
      <c r="K111" s="131">
        <f>J112</f>
        <v>6216.25</v>
      </c>
      <c r="L111" s="131">
        <f>K112</f>
        <v>4909.8</v>
      </c>
      <c r="M111" s="101">
        <f>J111+K111+L111</f>
        <v>23642.424999999999</v>
      </c>
      <c r="N111" s="131">
        <f>L112</f>
        <v>3309.6749999999997</v>
      </c>
      <c r="O111" s="131">
        <f>N112</f>
        <v>3002.0250000000001</v>
      </c>
      <c r="P111" s="131">
        <f>O112</f>
        <v>1841.1000000000001</v>
      </c>
      <c r="Q111" s="101">
        <f>N111+O111+P111</f>
        <v>8152.8</v>
      </c>
      <c r="R111" s="101">
        <f>Q111+M111+I111+E111</f>
        <v>53918.684999999998</v>
      </c>
    </row>
    <row r="112" spans="1:18">
      <c r="A112" s="94" t="s">
        <v>109</v>
      </c>
      <c r="B112" s="131">
        <f>C59*0.1</f>
        <v>1923.2</v>
      </c>
      <c r="C112" s="131">
        <f>D59*0.1</f>
        <v>2200.1</v>
      </c>
      <c r="D112" s="131">
        <f>F59*0.15</f>
        <v>3563.31</v>
      </c>
      <c r="E112" s="101">
        <f>SUM(B112:D112)</f>
        <v>7686.6100000000006</v>
      </c>
      <c r="F112" s="131">
        <f>G59*0.25</f>
        <v>6577.5249999999996</v>
      </c>
      <c r="G112" s="131">
        <f>H59*0.25</f>
        <v>6796.125</v>
      </c>
      <c r="H112" s="131">
        <f>I59*0.25</f>
        <v>12516.375</v>
      </c>
      <c r="I112" s="101">
        <f>F112+G112+H112</f>
        <v>25890.025000000001</v>
      </c>
      <c r="J112" s="131">
        <f>K59*0.25</f>
        <v>6216.25</v>
      </c>
      <c r="K112" s="131">
        <f>L59*0.2</f>
        <v>4909.8</v>
      </c>
      <c r="L112" s="131">
        <f>N59*0.15</f>
        <v>3309.6749999999997</v>
      </c>
      <c r="M112" s="101">
        <f>J112+K112+L112</f>
        <v>14435.724999999999</v>
      </c>
      <c r="N112" s="131">
        <f>O59*0.15</f>
        <v>3002.0250000000001</v>
      </c>
      <c r="O112" s="131">
        <f>P59*0.1</f>
        <v>1841.1000000000001</v>
      </c>
      <c r="P112" s="131">
        <f>B59*0.1</f>
        <v>2126.4</v>
      </c>
      <c r="Q112" s="101">
        <f>N112+O112+P112</f>
        <v>6969.5249999999996</v>
      </c>
      <c r="R112" s="101">
        <f>Q112+M112+I112+E112</f>
        <v>54981.885000000002</v>
      </c>
    </row>
    <row r="113" spans="1:18">
      <c r="A113" s="94" t="s">
        <v>110</v>
      </c>
      <c r="B113" s="131">
        <f>B112</f>
        <v>1923.2</v>
      </c>
      <c r="C113" s="131">
        <f>C112</f>
        <v>2200.1</v>
      </c>
      <c r="D113" s="131">
        <f>D112</f>
        <v>3563.31</v>
      </c>
      <c r="E113" s="101">
        <f>SUM(B113:D113)</f>
        <v>7686.6100000000006</v>
      </c>
      <c r="F113" s="131">
        <f>F112</f>
        <v>6577.5249999999996</v>
      </c>
      <c r="G113" s="131">
        <f>G112</f>
        <v>6796.125</v>
      </c>
      <c r="H113" s="131">
        <f>H112</f>
        <v>12516.375</v>
      </c>
      <c r="I113" s="101">
        <f>F113+G113+H113</f>
        <v>25890.025000000001</v>
      </c>
      <c r="J113" s="131">
        <f>J112</f>
        <v>6216.25</v>
      </c>
      <c r="K113" s="131">
        <f>K112</f>
        <v>4909.8</v>
      </c>
      <c r="L113" s="131">
        <f>L112</f>
        <v>3309.6749999999997</v>
      </c>
      <c r="M113" s="101">
        <f>J113+K113+L113</f>
        <v>14435.724999999999</v>
      </c>
      <c r="N113" s="131">
        <f>N112</f>
        <v>3002.0250000000001</v>
      </c>
      <c r="O113" s="131">
        <f>O112</f>
        <v>1841.1000000000001</v>
      </c>
      <c r="P113" s="131">
        <f>P112</f>
        <v>2126.4</v>
      </c>
      <c r="Q113" s="101">
        <f>N113+O113+P113</f>
        <v>6969.5249999999996</v>
      </c>
      <c r="R113" s="101">
        <f>Q113+M113+I113+E113</f>
        <v>54981.885000000002</v>
      </c>
    </row>
    <row r="114" spans="1:18">
      <c r="A114" s="88" t="s">
        <v>111</v>
      </c>
      <c r="B114" s="95">
        <f>SUM(B59+B112-B111)</f>
        <v>22124</v>
      </c>
      <c r="C114" s="95">
        <f>SUM(C59+C112-C111)</f>
        <v>19508.899999999998</v>
      </c>
      <c r="D114" s="95">
        <f>SUM(D59+D112-D111)</f>
        <v>23364.210000000003</v>
      </c>
      <c r="E114" s="96">
        <f>SUM(B114:D114)</f>
        <v>64997.11</v>
      </c>
      <c r="F114" s="95">
        <f>F59+F112-F111</f>
        <v>26769.615000000002</v>
      </c>
      <c r="G114" s="95">
        <f>G59+G112-G111</f>
        <v>26528.699999999997</v>
      </c>
      <c r="H114" s="95">
        <f>H59+H112-H111</f>
        <v>32904.75</v>
      </c>
      <c r="I114" s="96">
        <f>F114+G114+H114</f>
        <v>86203.065000000002</v>
      </c>
      <c r="J114" s="95">
        <f>J59+J112-J111</f>
        <v>14640.875</v>
      </c>
      <c r="K114" s="95">
        <f>K59+K112-K111</f>
        <v>23558.55</v>
      </c>
      <c r="L114" s="95">
        <f>L59+L112-L111</f>
        <v>22948.875</v>
      </c>
      <c r="M114" s="96">
        <f>J114+K114+L114</f>
        <v>61148.3</v>
      </c>
      <c r="N114" s="95">
        <f>N59+N112-N111</f>
        <v>21756.850000000002</v>
      </c>
      <c r="O114" s="95">
        <f>O59+O112-O111</f>
        <v>18852.574999999997</v>
      </c>
      <c r="P114" s="95">
        <f>P59+P112-P111</f>
        <v>18696.300000000003</v>
      </c>
      <c r="Q114" s="96">
        <f>N114+O114+P114</f>
        <v>59305.725000000006</v>
      </c>
      <c r="R114" s="96">
        <f>Q114+M114+I114+E114</f>
        <v>271654.2</v>
      </c>
    </row>
    <row r="115" spans="1:18">
      <c r="A115" s="83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</row>
    <row r="116" spans="1:18">
      <c r="A116" s="83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</row>
    <row r="117" spans="1:18">
      <c r="A117" s="84" t="s">
        <v>112</v>
      </c>
      <c r="B117" s="68"/>
      <c r="C117" s="67" t="s">
        <v>46</v>
      </c>
      <c r="D117" s="67" t="s">
        <v>46</v>
      </c>
      <c r="E117" s="67" t="s">
        <v>46</v>
      </c>
      <c r="F117" s="82" t="s">
        <v>46</v>
      </c>
      <c r="G117" s="82" t="s">
        <v>46</v>
      </c>
      <c r="H117" s="82" t="s">
        <v>46</v>
      </c>
      <c r="I117" s="82" t="s">
        <v>46</v>
      </c>
      <c r="J117" s="82" t="s">
        <v>46</v>
      </c>
      <c r="K117" s="82" t="s">
        <v>46</v>
      </c>
      <c r="L117" s="82" t="s">
        <v>46</v>
      </c>
      <c r="M117" s="82" t="s">
        <v>46</v>
      </c>
      <c r="N117" s="82" t="s">
        <v>46</v>
      </c>
      <c r="O117" s="82" t="s">
        <v>46</v>
      </c>
      <c r="P117" s="82" t="s">
        <v>46</v>
      </c>
      <c r="Q117" s="82" t="s">
        <v>46</v>
      </c>
      <c r="R117" s="82" t="s">
        <v>46</v>
      </c>
    </row>
    <row r="118" spans="1:18">
      <c r="A118" s="83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</row>
    <row r="119" spans="1:18">
      <c r="A119" s="112" t="s">
        <v>3</v>
      </c>
      <c r="B119" s="96" t="s">
        <v>4</v>
      </c>
      <c r="C119" s="96" t="s">
        <v>5</v>
      </c>
      <c r="D119" s="96" t="s">
        <v>6</v>
      </c>
      <c r="E119" s="96" t="s">
        <v>7</v>
      </c>
      <c r="F119" s="96" t="s">
        <v>8</v>
      </c>
      <c r="G119" s="96" t="s">
        <v>9</v>
      </c>
      <c r="H119" s="96" t="s">
        <v>10</v>
      </c>
      <c r="I119" s="96" t="s">
        <v>11</v>
      </c>
      <c r="J119" s="96" t="s">
        <v>12</v>
      </c>
      <c r="K119" s="96" t="s">
        <v>67</v>
      </c>
      <c r="L119" s="96" t="s">
        <v>68</v>
      </c>
      <c r="M119" s="96" t="s">
        <v>15</v>
      </c>
      <c r="N119" s="96" t="s">
        <v>16</v>
      </c>
      <c r="O119" s="96" t="s">
        <v>17</v>
      </c>
      <c r="P119" s="96" t="s">
        <v>18</v>
      </c>
      <c r="Q119" s="96" t="s">
        <v>69</v>
      </c>
      <c r="R119" s="96" t="s">
        <v>44</v>
      </c>
    </row>
    <row r="120" spans="1:18">
      <c r="A120" s="45" t="s">
        <v>89</v>
      </c>
      <c r="B120" s="95" t="s">
        <v>46</v>
      </c>
      <c r="C120" s="95" t="s">
        <v>46</v>
      </c>
      <c r="D120" s="95" t="s">
        <v>46</v>
      </c>
      <c r="E120" s="96" t="s">
        <v>46</v>
      </c>
      <c r="F120" s="95" t="s">
        <v>46</v>
      </c>
      <c r="G120" s="95" t="s">
        <v>46</v>
      </c>
      <c r="H120" s="95" t="s">
        <v>46</v>
      </c>
      <c r="I120" s="96" t="s">
        <v>46</v>
      </c>
      <c r="J120" s="95" t="s">
        <v>46</v>
      </c>
      <c r="K120" s="95" t="s">
        <v>46</v>
      </c>
      <c r="L120" s="95" t="s">
        <v>46</v>
      </c>
      <c r="M120" s="96" t="s">
        <v>46</v>
      </c>
      <c r="N120" s="95" t="s">
        <v>46</v>
      </c>
      <c r="O120" s="95" t="s">
        <v>46</v>
      </c>
      <c r="P120" s="95" t="s">
        <v>46</v>
      </c>
      <c r="Q120" s="96" t="s">
        <v>46</v>
      </c>
      <c r="R120" s="96" t="s">
        <v>46</v>
      </c>
    </row>
    <row r="121" spans="1:18">
      <c r="A121" t="s">
        <v>113</v>
      </c>
      <c r="B121" s="94">
        <f>B99</f>
        <v>2853.6</v>
      </c>
      <c r="C121" s="94">
        <f>C99</f>
        <v>2765.2000000000003</v>
      </c>
      <c r="D121" s="94">
        <f>D99</f>
        <v>3675.2099999999996</v>
      </c>
      <c r="E121" s="86">
        <f>B121+C121+D121</f>
        <v>9294.01</v>
      </c>
      <c r="F121" s="94">
        <f>F99</f>
        <v>4387.93</v>
      </c>
      <c r="G121" s="94">
        <f>G99</f>
        <v>5312.66</v>
      </c>
      <c r="H121" s="94">
        <f>H99</f>
        <v>5494.4000000000005</v>
      </c>
      <c r="I121" s="86">
        <f>F121+G121+H121</f>
        <v>15194.990000000002</v>
      </c>
      <c r="J121" s="94">
        <f>J99</f>
        <v>4558.7</v>
      </c>
      <c r="K121" s="94">
        <f>K99</f>
        <v>4634.2</v>
      </c>
      <c r="L121" s="94">
        <f>L99</f>
        <v>5641.0499999999993</v>
      </c>
      <c r="M121" s="86">
        <f>J121+K121+L121</f>
        <v>14833.949999999999</v>
      </c>
      <c r="N121" s="94">
        <f>N99</f>
        <v>2054.7500000000005</v>
      </c>
      <c r="O121" s="94">
        <f>O99</f>
        <v>3014.1000000000004</v>
      </c>
      <c r="P121" s="94">
        <f>P99</f>
        <v>2536.1999999999998</v>
      </c>
      <c r="Q121" s="86">
        <f>N121+O121+P121</f>
        <v>7605.05</v>
      </c>
      <c r="R121" s="86">
        <f>E121+I121+M121+Q121</f>
        <v>46928</v>
      </c>
    </row>
    <row r="122" spans="1:18">
      <c r="A122" s="145" t="s">
        <v>114</v>
      </c>
      <c r="B122" s="95">
        <f>B121*$V$45</f>
        <v>14268</v>
      </c>
      <c r="C122" s="95">
        <f>C121*$V$45</f>
        <v>13826.000000000002</v>
      </c>
      <c r="D122" s="95">
        <f>D121*$V$45</f>
        <v>18376.05</v>
      </c>
      <c r="E122" s="96">
        <f>B122+C122+D122</f>
        <v>46470.05</v>
      </c>
      <c r="F122" s="95">
        <f>F121*$V$45</f>
        <v>21939.65</v>
      </c>
      <c r="G122" s="95">
        <f>G121*$V$45</f>
        <v>26563.3</v>
      </c>
      <c r="H122" s="95">
        <f>H121*$V$45</f>
        <v>27472.000000000004</v>
      </c>
      <c r="I122" s="96">
        <f>F122+G122+H122</f>
        <v>75974.95</v>
      </c>
      <c r="J122" s="95">
        <f>J121*$W$45</f>
        <v>22793.5</v>
      </c>
      <c r="K122" s="95">
        <f>K121*$W$45</f>
        <v>23171</v>
      </c>
      <c r="L122" s="95">
        <f>L121*$W$45</f>
        <v>28205.249999999996</v>
      </c>
      <c r="M122" s="96">
        <f>J122+K122+L122</f>
        <v>74169.75</v>
      </c>
      <c r="N122" s="95">
        <f>N121*$W$45</f>
        <v>10273.750000000002</v>
      </c>
      <c r="O122" s="95">
        <f>O121*$W$45</f>
        <v>15070.500000000002</v>
      </c>
      <c r="P122" s="95">
        <f>P121*$W$45</f>
        <v>12681</v>
      </c>
      <c r="Q122" s="96">
        <f>N122+O122+P122</f>
        <v>38025.25</v>
      </c>
      <c r="R122" s="96">
        <f>E122+I122+M122+Q122</f>
        <v>234640</v>
      </c>
    </row>
    <row r="123" spans="1:18">
      <c r="A123" s="45" t="s">
        <v>93</v>
      </c>
      <c r="B123" s="95"/>
      <c r="C123" s="95"/>
      <c r="D123" s="95"/>
      <c r="E123" s="96"/>
      <c r="F123" s="95"/>
      <c r="G123" s="95"/>
      <c r="H123" s="95"/>
      <c r="I123" s="96"/>
      <c r="J123" s="95"/>
      <c r="K123" s="95"/>
      <c r="L123" s="95"/>
      <c r="M123" s="96"/>
      <c r="N123" s="95"/>
      <c r="O123" s="95"/>
      <c r="P123" s="95"/>
      <c r="Q123" s="96"/>
      <c r="R123" s="96"/>
    </row>
    <row r="124" spans="1:18">
      <c r="A124" t="s">
        <v>115</v>
      </c>
      <c r="B124" s="94">
        <f>B104</f>
        <v>5974.8249999999998</v>
      </c>
      <c r="C124" s="94">
        <f>C104</f>
        <v>5255.7749999999996</v>
      </c>
      <c r="D124" s="94">
        <f>D104</f>
        <v>6251.58</v>
      </c>
      <c r="E124" s="86">
        <f>B124+C124+D124</f>
        <v>17482.18</v>
      </c>
      <c r="F124" s="94">
        <f>F104</f>
        <v>7123.5075000000015</v>
      </c>
      <c r="G124" s="94">
        <f>G104</f>
        <v>7056.4499999999989</v>
      </c>
      <c r="H124" s="94">
        <f>H104</f>
        <v>10545.937500000002</v>
      </c>
      <c r="I124" s="86">
        <f>F124+G124+H124</f>
        <v>24725.895000000004</v>
      </c>
      <c r="J124" s="94">
        <f>J104</f>
        <v>2188.3624999999993</v>
      </c>
      <c r="K124" s="94">
        <f>K104</f>
        <v>6266.017499999999</v>
      </c>
      <c r="L124" s="94">
        <f>L104</f>
        <v>6096.9599999999991</v>
      </c>
      <c r="M124" s="86">
        <f>J124+K124+L124</f>
        <v>14551.339999999997</v>
      </c>
      <c r="N124" s="94">
        <f>L104</f>
        <v>6096.9599999999991</v>
      </c>
      <c r="O124" s="94">
        <f>O104</f>
        <v>5017.4724999999999</v>
      </c>
      <c r="P124" s="94">
        <f>P104</f>
        <v>5029.3950000000004</v>
      </c>
      <c r="Q124" s="86">
        <f>N124+O124+P124</f>
        <v>16143.827499999999</v>
      </c>
      <c r="R124" s="86">
        <f>E124+I124+M124+Q124</f>
        <v>72903.242499999993</v>
      </c>
    </row>
    <row r="125" spans="1:18">
      <c r="A125" s="145" t="s">
        <v>116</v>
      </c>
      <c r="B125" s="95">
        <f>B124*$V$46</f>
        <v>219754.06349999999</v>
      </c>
      <c r="C125" s="95">
        <f>C124*$V$46</f>
        <v>193307.4045</v>
      </c>
      <c r="D125" s="95">
        <f>D124*$V$46</f>
        <v>229933.11240000001</v>
      </c>
      <c r="E125" s="96">
        <f>B125+C125+D125</f>
        <v>642994.58039999998</v>
      </c>
      <c r="F125" s="95">
        <f>F124*$V$46</f>
        <v>262002.60585000005</v>
      </c>
      <c r="G125" s="95">
        <f>G124*$V$46</f>
        <v>259536.23099999997</v>
      </c>
      <c r="H125" s="95">
        <f>H124*$V$46</f>
        <v>387879.5812500001</v>
      </c>
      <c r="I125" s="96">
        <f>F125+G125+H125</f>
        <v>909418.41810000013</v>
      </c>
      <c r="J125" s="95">
        <f>J124*$W$46</f>
        <v>80247.252874999976</v>
      </c>
      <c r="K125" s="95">
        <f>K124*$W$46</f>
        <v>229774.86172499997</v>
      </c>
      <c r="L125" s="95">
        <f>L124*$W$46</f>
        <v>223575.52319999997</v>
      </c>
      <c r="M125" s="96">
        <f>J125+K125+L125</f>
        <v>533597.63779999991</v>
      </c>
      <c r="N125" s="95">
        <f>N124*$W$46</f>
        <v>223575.52319999997</v>
      </c>
      <c r="O125" s="95">
        <f>O124*$W$46</f>
        <v>183990.716575</v>
      </c>
      <c r="P125" s="95">
        <f>P124*$W$46</f>
        <v>184427.91465000002</v>
      </c>
      <c r="Q125" s="96">
        <f>N125+O125+P125</f>
        <v>591994.15442499996</v>
      </c>
      <c r="R125" s="96">
        <f>E125+I125+M125+Q125</f>
        <v>2678004.7907250002</v>
      </c>
    </row>
    <row r="126" spans="1:18">
      <c r="A126" s="45" t="s">
        <v>94</v>
      </c>
      <c r="B126" s="95"/>
      <c r="C126" s="95"/>
      <c r="D126" s="95"/>
      <c r="E126" s="96"/>
      <c r="F126" s="95"/>
      <c r="G126" s="95"/>
      <c r="H126" s="95"/>
      <c r="I126" s="96"/>
      <c r="J126" s="95"/>
      <c r="K126" s="95"/>
      <c r="L126" s="95"/>
      <c r="M126" s="96"/>
      <c r="N126" s="95"/>
      <c r="O126" s="95"/>
      <c r="P126" s="95"/>
      <c r="Q126" s="96"/>
      <c r="R126" s="96"/>
    </row>
    <row r="127" spans="1:18">
      <c r="A127" t="s">
        <v>117</v>
      </c>
      <c r="B127" s="94">
        <f>B109</f>
        <v>156544.1</v>
      </c>
      <c r="C127" s="94">
        <f>C109</f>
        <v>144795</v>
      </c>
      <c r="D127" s="94">
        <f>D109</f>
        <v>172627.53</v>
      </c>
      <c r="E127" s="86">
        <f>B127+C127+D127</f>
        <v>473966.63</v>
      </c>
      <c r="F127" s="94">
        <f>F109</f>
        <v>187526.33000000002</v>
      </c>
      <c r="G127" s="94">
        <f>G109</f>
        <v>201145.03999999998</v>
      </c>
      <c r="H127" s="94">
        <f>H109</f>
        <v>191155.8</v>
      </c>
      <c r="I127" s="86">
        <f>F127+G127+H127</f>
        <v>579827.16999999993</v>
      </c>
      <c r="J127" s="94">
        <f>J109</f>
        <v>161247.4</v>
      </c>
      <c r="K127" s="94">
        <f>K109</f>
        <v>182160.2</v>
      </c>
      <c r="L127" s="94">
        <f>L109</f>
        <v>168359.34999999998</v>
      </c>
      <c r="M127" s="86">
        <f>J127+K127+L127</f>
        <v>511766.94999999995</v>
      </c>
      <c r="N127" s="94">
        <f>N109</f>
        <v>160154</v>
      </c>
      <c r="O127" s="94">
        <f>O109</f>
        <v>138476.85</v>
      </c>
      <c r="P127" s="94">
        <f>P109</f>
        <v>20586.599999999999</v>
      </c>
      <c r="Q127" s="86">
        <f>N127+O127+P127</f>
        <v>319217.44999999995</v>
      </c>
      <c r="R127" s="86">
        <f>E127+I127+M127+Q127</f>
        <v>1884778.1999999997</v>
      </c>
    </row>
    <row r="128" spans="1:18">
      <c r="A128" s="145" t="s">
        <v>118</v>
      </c>
      <c r="B128" s="95">
        <f>B127*$V$47</f>
        <v>485.28671000000003</v>
      </c>
      <c r="C128" s="95">
        <f>C127*$V$47</f>
        <v>448.86449999999996</v>
      </c>
      <c r="D128" s="95">
        <f>D127*$V$47</f>
        <v>535.14534300000003</v>
      </c>
      <c r="E128" s="96">
        <f>B128+C128+D128</f>
        <v>1469.2965530000001</v>
      </c>
      <c r="F128" s="95">
        <f>F127*$V$47</f>
        <v>581.33162300000004</v>
      </c>
      <c r="G128" s="95">
        <f>G127*$V$47</f>
        <v>623.54962399999988</v>
      </c>
      <c r="H128" s="95">
        <f>H127*$V$47</f>
        <v>592.58297999999991</v>
      </c>
      <c r="I128" s="96">
        <f>F128+G128+H128</f>
        <v>1797.4642269999997</v>
      </c>
      <c r="J128" s="95">
        <f>J127*$W$47</f>
        <v>483.74219999999997</v>
      </c>
      <c r="K128" s="95">
        <f>K127*$W$47</f>
        <v>546.48060000000009</v>
      </c>
      <c r="L128" s="95">
        <f>L127*$W$47</f>
        <v>505.07804999999996</v>
      </c>
      <c r="M128" s="96">
        <f>J128+K128+L128</f>
        <v>1535.3008500000001</v>
      </c>
      <c r="N128" s="95">
        <f>N127*$W$47</f>
        <v>480.46199999999999</v>
      </c>
      <c r="O128" s="95">
        <f>O127*$W$47</f>
        <v>415.43055000000004</v>
      </c>
      <c r="P128" s="95">
        <f>P127*$W$47</f>
        <v>61.759799999999998</v>
      </c>
      <c r="Q128" s="96">
        <f>N128+O128+P128</f>
        <v>957.65235000000007</v>
      </c>
      <c r="R128" s="96">
        <f>E128+I128+M128+Q128</f>
        <v>5759.7139800000004</v>
      </c>
    </row>
    <row r="129" spans="1:18">
      <c r="A129" s="45" t="s">
        <v>96</v>
      </c>
      <c r="B129" s="95"/>
      <c r="C129" s="95"/>
      <c r="D129" s="95"/>
      <c r="E129" s="96"/>
      <c r="F129" s="95"/>
      <c r="G129" s="95"/>
      <c r="H129" s="95"/>
      <c r="I129" s="96"/>
      <c r="J129" s="95"/>
      <c r="K129" s="95"/>
      <c r="L129" s="95"/>
      <c r="M129" s="96"/>
      <c r="N129" s="95"/>
      <c r="O129" s="95"/>
      <c r="P129" s="95"/>
      <c r="Q129" s="96"/>
      <c r="R129" s="96"/>
    </row>
    <row r="130" spans="1:18">
      <c r="A130" t="s">
        <v>119</v>
      </c>
      <c r="B130" s="95">
        <f>B114</f>
        <v>22124</v>
      </c>
      <c r="C130" s="95">
        <f>C114</f>
        <v>19508.899999999998</v>
      </c>
      <c r="D130" s="95">
        <f>D114</f>
        <v>23364.210000000003</v>
      </c>
      <c r="E130" s="96">
        <f>B130+C130+D130</f>
        <v>64997.11</v>
      </c>
      <c r="F130" s="95">
        <f>F114</f>
        <v>26769.615000000002</v>
      </c>
      <c r="G130" s="95">
        <f>G114</f>
        <v>26528.699999999997</v>
      </c>
      <c r="H130" s="95">
        <f>H114</f>
        <v>32904.75</v>
      </c>
      <c r="I130" s="96">
        <f>F130+G130+H130</f>
        <v>86203.065000000002</v>
      </c>
      <c r="J130" s="95">
        <f>J114</f>
        <v>14640.875</v>
      </c>
      <c r="K130" s="95">
        <f>K114</f>
        <v>23558.55</v>
      </c>
      <c r="L130" s="95">
        <f>L114</f>
        <v>22948.875</v>
      </c>
      <c r="M130" s="96">
        <f>J130+K130+L130</f>
        <v>61148.3</v>
      </c>
      <c r="N130" s="95">
        <f>N114</f>
        <v>21756.850000000002</v>
      </c>
      <c r="O130" s="95">
        <f>O114</f>
        <v>18852.574999999997</v>
      </c>
      <c r="P130" s="95">
        <f>P114</f>
        <v>18696.300000000003</v>
      </c>
      <c r="Q130" s="96">
        <f>N130+O130+P130</f>
        <v>59305.725000000006</v>
      </c>
      <c r="R130" s="96">
        <f>E130+I130+M130+Q130</f>
        <v>271654.19999999995</v>
      </c>
    </row>
    <row r="131" spans="1:18">
      <c r="A131" s="145" t="s">
        <v>120</v>
      </c>
      <c r="B131" s="95">
        <f>B130*$V$48</f>
        <v>110620</v>
      </c>
      <c r="C131" s="95">
        <f>C130*$V$48</f>
        <v>97544.499999999985</v>
      </c>
      <c r="D131" s="95">
        <f>D130*$V$48</f>
        <v>116821.05000000002</v>
      </c>
      <c r="E131" s="96">
        <f>B131+C131+D131</f>
        <v>324985.55000000005</v>
      </c>
      <c r="F131" s="95">
        <f>F130*$V$48</f>
        <v>133848.07500000001</v>
      </c>
      <c r="G131" s="95">
        <f>G130*$V$48</f>
        <v>132643.5</v>
      </c>
      <c r="H131" s="95">
        <f>H130*$V$48</f>
        <v>164523.75</v>
      </c>
      <c r="I131" s="96">
        <f>F131+G131+H131</f>
        <v>431015.32500000001</v>
      </c>
      <c r="J131" s="95">
        <f>J130*$W$48</f>
        <v>73204.375</v>
      </c>
      <c r="K131" s="95">
        <f>K130*$W$48</f>
        <v>117792.75</v>
      </c>
      <c r="L131" s="95">
        <f>L130*$W$48</f>
        <v>114744.375</v>
      </c>
      <c r="M131" s="96">
        <f>J131+K131+L131</f>
        <v>305741.5</v>
      </c>
      <c r="N131" s="95">
        <f>N130*$W$48</f>
        <v>108784.25000000001</v>
      </c>
      <c r="O131" s="95">
        <f>O130*$W$48</f>
        <v>94262.874999999985</v>
      </c>
      <c r="P131" s="95">
        <f>P130*$W$48</f>
        <v>93481.500000000015</v>
      </c>
      <c r="Q131" s="96">
        <f>N131+O131+P131</f>
        <v>296528.625</v>
      </c>
      <c r="R131" s="96">
        <f>E131+I131+M131+Q131</f>
        <v>1358271</v>
      </c>
    </row>
    <row r="132" spans="1:18">
      <c r="A132" s="146" t="s">
        <v>121</v>
      </c>
      <c r="B132" s="131">
        <f>SUM(B122+B125+B128+B131)</f>
        <v>345127.35020999995</v>
      </c>
      <c r="C132" s="131">
        <f>C122+C125+C128+C131</f>
        <v>305126.76899999997</v>
      </c>
      <c r="D132" s="131">
        <f>D122+D125+D128+D131</f>
        <v>365665.35774300003</v>
      </c>
      <c r="E132" s="101">
        <f>B132+C132+D132</f>
        <v>1015919.4769529999</v>
      </c>
      <c r="F132" s="131">
        <f>F122+F125+F128+F131</f>
        <v>418371.66247300006</v>
      </c>
      <c r="G132" s="131">
        <f>G122+G125+G128+G131</f>
        <v>419366.58062399994</v>
      </c>
      <c r="H132" s="131">
        <f>H122+H125+H128+H131</f>
        <v>580467.91423000011</v>
      </c>
      <c r="I132" s="101">
        <f>F132+G132+H132</f>
        <v>1418206.1573270001</v>
      </c>
      <c r="J132" s="131">
        <f>J122+J125+J128+J131</f>
        <v>176728.87007499998</v>
      </c>
      <c r="K132" s="131">
        <f>K122+K125+K128+K131</f>
        <v>371285.09232499998</v>
      </c>
      <c r="L132" s="131">
        <f>L122+L125+L128+L131</f>
        <v>367030.22624999995</v>
      </c>
      <c r="M132" s="101">
        <f>J132+K132+L132</f>
        <v>915044.18864999991</v>
      </c>
      <c r="N132" s="131">
        <f>N122+N125+N128+N131</f>
        <v>343113.9852</v>
      </c>
      <c r="O132" s="131">
        <f>O122+O125+O128+O131</f>
        <v>293739.52212499996</v>
      </c>
      <c r="P132" s="131">
        <f>P122+P125+P128+P131</f>
        <v>290652.17445000005</v>
      </c>
      <c r="Q132" s="101">
        <f>N132+O132+P132</f>
        <v>927505.68177499995</v>
      </c>
      <c r="R132" s="101">
        <f>E132+I132+M132+Q132</f>
        <v>4276675.5047049997</v>
      </c>
    </row>
    <row r="134" spans="1:18">
      <c r="A134" s="103" t="s">
        <v>122</v>
      </c>
      <c r="B134" s="103"/>
      <c r="C134" s="103"/>
      <c r="D134" s="103"/>
      <c r="E134" s="103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</row>
    <row r="135" spans="1:18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</row>
    <row r="136" spans="1:18">
      <c r="A136" s="113" t="s">
        <v>3</v>
      </c>
      <c r="B136" s="96" t="s">
        <v>4</v>
      </c>
      <c r="C136" s="96" t="s">
        <v>5</v>
      </c>
      <c r="D136" s="96" t="s">
        <v>6</v>
      </c>
      <c r="E136" s="96" t="s">
        <v>7</v>
      </c>
      <c r="F136" s="96" t="s">
        <v>8</v>
      </c>
      <c r="G136" s="96" t="s">
        <v>9</v>
      </c>
      <c r="H136" s="96" t="s">
        <v>10</v>
      </c>
      <c r="I136" s="96" t="s">
        <v>11</v>
      </c>
      <c r="J136" s="96" t="s">
        <v>12</v>
      </c>
      <c r="K136" s="96" t="s">
        <v>67</v>
      </c>
      <c r="L136" s="96" t="s">
        <v>68</v>
      </c>
      <c r="M136" s="96" t="s">
        <v>15</v>
      </c>
      <c r="N136" s="96" t="s">
        <v>16</v>
      </c>
      <c r="O136" s="96" t="s">
        <v>17</v>
      </c>
      <c r="P136" s="96" t="s">
        <v>18</v>
      </c>
      <c r="Q136" s="96" t="s">
        <v>69</v>
      </c>
      <c r="R136" s="96" t="s">
        <v>44</v>
      </c>
    </row>
    <row r="137" spans="1:18">
      <c r="A137" s="95" t="s">
        <v>123</v>
      </c>
      <c r="B137" s="95">
        <v>8</v>
      </c>
      <c r="C137" s="95">
        <v>8</v>
      </c>
      <c r="D137" s="95">
        <v>8</v>
      </c>
      <c r="E137" s="96">
        <v>8</v>
      </c>
      <c r="F137" s="95">
        <v>8</v>
      </c>
      <c r="G137" s="95">
        <v>8</v>
      </c>
      <c r="H137" s="95">
        <v>8</v>
      </c>
      <c r="I137" s="96">
        <v>8</v>
      </c>
      <c r="J137" s="95">
        <v>8</v>
      </c>
      <c r="K137" s="95">
        <v>8</v>
      </c>
      <c r="L137" s="95">
        <v>8</v>
      </c>
      <c r="M137" s="96">
        <v>8</v>
      </c>
      <c r="N137" s="95">
        <v>8</v>
      </c>
      <c r="O137" s="95">
        <v>8</v>
      </c>
      <c r="P137" s="95">
        <v>8</v>
      </c>
      <c r="Q137" s="96">
        <v>8</v>
      </c>
      <c r="R137" s="96">
        <v>8</v>
      </c>
    </row>
    <row r="138" spans="1:18">
      <c r="A138" s="95" t="s">
        <v>124</v>
      </c>
      <c r="B138" s="95">
        <v>21</v>
      </c>
      <c r="C138" s="95">
        <v>21</v>
      </c>
      <c r="D138" s="95">
        <v>21</v>
      </c>
      <c r="E138" s="96">
        <f>SUM(B138:D138)</f>
        <v>63</v>
      </c>
      <c r="F138" s="95">
        <v>21</v>
      </c>
      <c r="G138" s="95">
        <v>21</v>
      </c>
      <c r="H138" s="95">
        <v>21</v>
      </c>
      <c r="I138" s="96">
        <f>SUM(F138:H138)</f>
        <v>63</v>
      </c>
      <c r="J138" s="95">
        <v>21</v>
      </c>
      <c r="K138" s="95">
        <v>21</v>
      </c>
      <c r="L138" s="95">
        <v>21</v>
      </c>
      <c r="M138" s="96">
        <f>SUM(J138:L138)</f>
        <v>63</v>
      </c>
      <c r="N138" s="95">
        <v>21</v>
      </c>
      <c r="O138" s="95">
        <v>21</v>
      </c>
      <c r="P138" s="95">
        <v>21</v>
      </c>
      <c r="Q138" s="96">
        <f>SUM(N138:P138)</f>
        <v>63</v>
      </c>
      <c r="R138" s="96">
        <f>SUM(E138+I138+M138+Q138)</f>
        <v>252</v>
      </c>
    </row>
    <row r="139" spans="1:18">
      <c r="A139" s="140" t="s">
        <v>125</v>
      </c>
      <c r="B139" s="95"/>
      <c r="C139" s="95"/>
      <c r="D139" s="95"/>
      <c r="E139" s="96"/>
      <c r="F139" s="95"/>
      <c r="G139" s="95"/>
      <c r="H139" s="95"/>
      <c r="I139" s="96"/>
      <c r="J139" s="95"/>
      <c r="K139" s="95"/>
      <c r="L139" s="95"/>
      <c r="M139" s="96"/>
      <c r="N139" s="95"/>
      <c r="O139" s="95"/>
      <c r="P139" s="95"/>
      <c r="Q139" s="96"/>
      <c r="R139" s="96"/>
    </row>
    <row r="140" spans="1:18">
      <c r="A140" s="95" t="s">
        <v>126</v>
      </c>
      <c r="B140" s="95">
        <v>2</v>
      </c>
      <c r="C140" s="95">
        <v>2</v>
      </c>
      <c r="D140" s="95">
        <v>2</v>
      </c>
      <c r="E140" s="96">
        <v>2</v>
      </c>
      <c r="F140" s="95">
        <v>2</v>
      </c>
      <c r="G140" s="95">
        <v>2</v>
      </c>
      <c r="H140" s="95">
        <v>2</v>
      </c>
      <c r="I140" s="96">
        <v>2</v>
      </c>
      <c r="J140" s="95">
        <v>2</v>
      </c>
      <c r="K140" s="95">
        <v>2</v>
      </c>
      <c r="L140" s="95">
        <v>2</v>
      </c>
      <c r="M140" s="96">
        <v>2</v>
      </c>
      <c r="N140" s="95">
        <v>2</v>
      </c>
      <c r="O140" s="95">
        <v>2</v>
      </c>
      <c r="P140" s="95">
        <v>2</v>
      </c>
      <c r="Q140" s="96">
        <v>2</v>
      </c>
      <c r="R140" s="96">
        <v>2</v>
      </c>
    </row>
    <row r="141" spans="1:18">
      <c r="A141" s="95" t="s">
        <v>127</v>
      </c>
      <c r="B141" s="95">
        <v>3</v>
      </c>
      <c r="C141" s="95">
        <v>3</v>
      </c>
      <c r="D141" s="95">
        <v>3</v>
      </c>
      <c r="E141" s="96">
        <v>3</v>
      </c>
      <c r="F141" s="95">
        <v>3</v>
      </c>
      <c r="G141" s="95">
        <v>3</v>
      </c>
      <c r="H141" s="95">
        <v>3</v>
      </c>
      <c r="I141" s="96">
        <v>3</v>
      </c>
      <c r="J141" s="95">
        <v>3</v>
      </c>
      <c r="K141" s="95">
        <v>3</v>
      </c>
      <c r="L141" s="95">
        <v>3</v>
      </c>
      <c r="M141" s="96">
        <v>3</v>
      </c>
      <c r="N141" s="95">
        <v>3</v>
      </c>
      <c r="O141" s="95">
        <v>3</v>
      </c>
      <c r="P141" s="95">
        <v>3</v>
      </c>
      <c r="Q141" s="96">
        <v>3</v>
      </c>
      <c r="R141" s="96">
        <v>3</v>
      </c>
    </row>
    <row r="142" spans="1:18">
      <c r="A142" s="95" t="s">
        <v>128</v>
      </c>
      <c r="B142" s="95">
        <v>8</v>
      </c>
      <c r="C142" s="95">
        <v>8</v>
      </c>
      <c r="D142" s="95">
        <v>8</v>
      </c>
      <c r="E142" s="96">
        <v>8</v>
      </c>
      <c r="F142" s="95">
        <v>8</v>
      </c>
      <c r="G142" s="95">
        <v>8</v>
      </c>
      <c r="H142" s="95">
        <v>8</v>
      </c>
      <c r="I142" s="96">
        <v>8</v>
      </c>
      <c r="J142" s="95">
        <v>8</v>
      </c>
      <c r="K142" s="95">
        <v>8</v>
      </c>
      <c r="L142" s="95">
        <v>8</v>
      </c>
      <c r="M142" s="96">
        <v>8</v>
      </c>
      <c r="N142" s="95">
        <v>8</v>
      </c>
      <c r="O142" s="95">
        <v>8</v>
      </c>
      <c r="P142" s="95">
        <v>8</v>
      </c>
      <c r="Q142" s="96">
        <v>8</v>
      </c>
      <c r="R142" s="96">
        <v>8</v>
      </c>
    </row>
    <row r="143" spans="1:18">
      <c r="A143" s="95" t="s">
        <v>129</v>
      </c>
      <c r="B143" s="95">
        <v>2</v>
      </c>
      <c r="C143" s="95">
        <v>2</v>
      </c>
      <c r="D143" s="95">
        <v>2</v>
      </c>
      <c r="E143" s="96">
        <v>2</v>
      </c>
      <c r="F143" s="95">
        <v>2</v>
      </c>
      <c r="G143" s="95">
        <v>2</v>
      </c>
      <c r="H143" s="95">
        <v>2</v>
      </c>
      <c r="I143" s="96">
        <v>2</v>
      </c>
      <c r="J143" s="95">
        <v>2</v>
      </c>
      <c r="K143" s="95">
        <v>2</v>
      </c>
      <c r="L143" s="95">
        <v>2</v>
      </c>
      <c r="M143" s="96">
        <v>2</v>
      </c>
      <c r="N143" s="95">
        <v>2</v>
      </c>
      <c r="O143" s="95">
        <v>2</v>
      </c>
      <c r="P143" s="95">
        <v>2</v>
      </c>
      <c r="Q143" s="96">
        <v>2</v>
      </c>
      <c r="R143" s="96">
        <v>2</v>
      </c>
    </row>
    <row r="144" spans="1:18">
      <c r="A144" s="95" t="s">
        <v>130</v>
      </c>
      <c r="B144" s="95">
        <v>0</v>
      </c>
      <c r="C144" s="95">
        <v>0</v>
      </c>
      <c r="D144" s="95">
        <v>0</v>
      </c>
      <c r="E144" s="96">
        <v>0</v>
      </c>
      <c r="F144" s="95">
        <v>0</v>
      </c>
      <c r="G144" s="95">
        <v>0</v>
      </c>
      <c r="H144" s="95">
        <v>0</v>
      </c>
      <c r="I144" s="96">
        <v>0</v>
      </c>
      <c r="J144" s="95">
        <v>0</v>
      </c>
      <c r="K144" s="95">
        <v>0</v>
      </c>
      <c r="L144" s="95">
        <v>0</v>
      </c>
      <c r="M144" s="96">
        <v>0</v>
      </c>
      <c r="N144" s="95">
        <v>0</v>
      </c>
      <c r="O144" s="95">
        <v>0</v>
      </c>
      <c r="P144" s="95">
        <v>0</v>
      </c>
      <c r="Q144" s="96">
        <v>0</v>
      </c>
      <c r="R144" s="96">
        <v>0</v>
      </c>
    </row>
    <row r="145" spans="1:18">
      <c r="A145" s="95" t="s">
        <v>131</v>
      </c>
      <c r="B145" s="95">
        <v>0.01</v>
      </c>
      <c r="C145" s="95">
        <v>0.02</v>
      </c>
      <c r="D145" s="95">
        <v>0.02</v>
      </c>
      <c r="E145" s="96">
        <v>0</v>
      </c>
      <c r="F145" s="95">
        <v>0.02</v>
      </c>
      <c r="G145" s="95">
        <v>0.03</v>
      </c>
      <c r="H145" s="95">
        <v>0.03</v>
      </c>
      <c r="I145" s="96">
        <v>0</v>
      </c>
      <c r="J145" s="95">
        <v>0.04</v>
      </c>
      <c r="K145" s="95">
        <v>0.05</v>
      </c>
      <c r="L145" s="95">
        <v>0.02</v>
      </c>
      <c r="M145" s="96">
        <v>0</v>
      </c>
      <c r="N145" s="95">
        <v>0.02</v>
      </c>
      <c r="O145" s="95">
        <v>0.01</v>
      </c>
      <c r="P145" s="95">
        <v>0.04</v>
      </c>
      <c r="Q145" s="96">
        <v>0</v>
      </c>
      <c r="R145" s="96">
        <v>0</v>
      </c>
    </row>
    <row r="146" spans="1:18">
      <c r="A146" s="95" t="s">
        <v>132</v>
      </c>
      <c r="B146" s="95">
        <v>0</v>
      </c>
      <c r="C146" s="95">
        <v>0</v>
      </c>
      <c r="D146" s="95">
        <v>0.1</v>
      </c>
      <c r="E146" s="96">
        <v>0</v>
      </c>
      <c r="F146" s="95">
        <v>0.12</v>
      </c>
      <c r="G146" s="95">
        <v>0.14000000000000001</v>
      </c>
      <c r="H146" s="95">
        <v>0.12</v>
      </c>
      <c r="I146" s="96">
        <v>0</v>
      </c>
      <c r="J146" s="95">
        <v>0.08</v>
      </c>
      <c r="K146" s="95">
        <v>0</v>
      </c>
      <c r="L146" s="95">
        <v>0.1</v>
      </c>
      <c r="M146" s="96">
        <v>0</v>
      </c>
      <c r="N146" s="95">
        <v>0.08</v>
      </c>
      <c r="O146" s="95">
        <v>0.05</v>
      </c>
      <c r="P146" s="95">
        <v>0</v>
      </c>
      <c r="Q146" s="96">
        <v>0</v>
      </c>
      <c r="R146" s="96">
        <v>0.14000000000000001</v>
      </c>
    </row>
    <row r="147" spans="1:18">
      <c r="A147" s="131" t="s">
        <v>133</v>
      </c>
      <c r="B147" s="95">
        <f>(B137*B138*B142)*(1+B146-B145)-(B141*B142)-(B140*B142)</f>
        <v>1290.56</v>
      </c>
      <c r="C147" s="143">
        <f>(C137*C138*C142)*(1+C146-C145)-(C141*C142)-(C140*C142)</f>
        <v>1277.1199999999999</v>
      </c>
      <c r="D147" s="95">
        <f>(D137*D138*D142)*(1+D146-D145)-(D141*D142)-(D140*D142)</f>
        <v>1411.52</v>
      </c>
      <c r="E147" s="96">
        <f>B147+C147++D147</f>
        <v>3979.2</v>
      </c>
      <c r="F147" s="95">
        <f>(F137*F138*F142)*(1+F146-F145)-(F141*F142)-(F140*F142)</f>
        <v>1438.4</v>
      </c>
      <c r="G147" s="95">
        <f>(G137*G138*G142)*(1+G146-G145)-(G141*G142)-(G140*G142)</f>
        <v>1451.8400000000001</v>
      </c>
      <c r="H147" s="95">
        <f>(H137*H138*H142)*(1+H146-H145)-(H141*H142)-(H140*H142)</f>
        <v>1424.96</v>
      </c>
      <c r="I147" s="96">
        <f t="shared" ref="I147:I153" si="29">F147+G147+H147</f>
        <v>4315.2000000000007</v>
      </c>
      <c r="J147" s="98">
        <f>(J137*J138*J142)*(1+J146-J145)-(J141*J142)-(J140*J142)</f>
        <v>1357.76</v>
      </c>
      <c r="K147" s="98">
        <f>(K137*K138*K142)*(1+K146-K145)-(K141*K142)-(K140*K142)</f>
        <v>1236.8</v>
      </c>
      <c r="L147" s="95">
        <f>(L137*L138*L142)*(1+L146-L145)-(L141*L142)-(L140*L142)</f>
        <v>1411.52</v>
      </c>
      <c r="M147" s="96">
        <f t="shared" ref="M147:M153" si="30">J147+K147+L147</f>
        <v>4006.08</v>
      </c>
      <c r="N147" s="95">
        <f>(N137*N138*N142)*(1+N146-N145)-(N141*N142)-(N140*N142)</f>
        <v>1384.64</v>
      </c>
      <c r="O147" s="95">
        <f>(O137*O138*O142)*(1+O146-O145)-(O141*O142)-(O140*O142)</f>
        <v>1357.76</v>
      </c>
      <c r="P147" s="95">
        <f>(P137*P138*P142)*(1+P146-P145)-(P141*P142)-(P140*P142)</f>
        <v>1250.24</v>
      </c>
      <c r="Q147" s="96">
        <f t="shared" ref="Q147:Q153" si="31">N147+O147+P147</f>
        <v>3992.6400000000003</v>
      </c>
      <c r="R147" s="96">
        <f>E147+I147+M147+Q147</f>
        <v>16293.120000000003</v>
      </c>
    </row>
    <row r="148" spans="1:18">
      <c r="A148" s="95" t="s">
        <v>134</v>
      </c>
      <c r="B148" s="95">
        <f>B27*$V$5</f>
        <v>859.92000000000007</v>
      </c>
      <c r="C148" s="95">
        <f>C27*$V$5</f>
        <v>767.2</v>
      </c>
      <c r="D148" s="95">
        <f>D27*$V$5</f>
        <v>834.80000000000007</v>
      </c>
      <c r="E148" s="96">
        <f t="shared" ref="E148:E153" si="32">B148+C148+D148</f>
        <v>2461.92</v>
      </c>
      <c r="F148" s="95">
        <f>F27*$V$5</f>
        <v>867.6</v>
      </c>
      <c r="G148" s="95">
        <f>G27*$V$5</f>
        <v>991.56000000000006</v>
      </c>
      <c r="H148" s="95">
        <f>H27*$V$5</f>
        <v>997.16</v>
      </c>
      <c r="I148" s="96">
        <f t="shared" si="29"/>
        <v>2856.32</v>
      </c>
      <c r="J148" s="95">
        <f>J27*$V$5</f>
        <v>1006.44</v>
      </c>
      <c r="K148" s="95">
        <f>K27*$V$5</f>
        <v>964.28</v>
      </c>
      <c r="L148" s="95">
        <f>L27*$V$5</f>
        <v>920.24</v>
      </c>
      <c r="M148" s="96">
        <f t="shared" si="30"/>
        <v>2890.96</v>
      </c>
      <c r="N148" s="95">
        <f>N27*$V$5</f>
        <v>853.88</v>
      </c>
      <c r="O148" s="95">
        <f>O27*$V$5</f>
        <v>732.52</v>
      </c>
      <c r="P148" s="95">
        <f>P27*$V$5</f>
        <v>716.32</v>
      </c>
      <c r="Q148" s="96">
        <f t="shared" si="31"/>
        <v>2302.7200000000003</v>
      </c>
      <c r="R148" s="96">
        <f>Q148+M148+I148+E148</f>
        <v>10511.92</v>
      </c>
    </row>
    <row r="149" spans="1:18">
      <c r="A149" s="95" t="s">
        <v>135</v>
      </c>
      <c r="B149" s="95">
        <f>B28*$V$13</f>
        <v>611.52</v>
      </c>
      <c r="C149" s="95">
        <f>C28*$V$13</f>
        <v>555.6</v>
      </c>
      <c r="D149" s="95">
        <f>D28*$V$13</f>
        <v>654.96</v>
      </c>
      <c r="E149" s="96">
        <f t="shared" si="32"/>
        <v>1822.08</v>
      </c>
      <c r="F149" s="95">
        <f>F28*$V$13</f>
        <v>694.64</v>
      </c>
      <c r="G149" s="95">
        <f>G28*$V$13</f>
        <v>689.44</v>
      </c>
      <c r="H149" s="95">
        <f>H28*$V$13</f>
        <v>745.76</v>
      </c>
      <c r="I149" s="96">
        <f t="shared" si="29"/>
        <v>2129.84</v>
      </c>
      <c r="J149" s="95">
        <f>J28*$V$13</f>
        <v>306.40000000000003</v>
      </c>
      <c r="K149" s="95">
        <f>K28*$V$13</f>
        <v>651.20000000000005</v>
      </c>
      <c r="L149" s="95">
        <f>L28*$V$13</f>
        <v>684.88</v>
      </c>
      <c r="M149" s="96">
        <f t="shared" si="30"/>
        <v>1642.48</v>
      </c>
      <c r="N149" s="95">
        <f>N28*$V$13</f>
        <v>621.68000000000006</v>
      </c>
      <c r="O149" s="95">
        <f>O28*$V$13</f>
        <v>608.4</v>
      </c>
      <c r="P149" s="95">
        <f>P28*$V$13</f>
        <v>556.64</v>
      </c>
      <c r="Q149" s="96">
        <f t="shared" si="31"/>
        <v>1786.7199999999998</v>
      </c>
      <c r="R149" s="96">
        <f>E149+I149+M149+Q149</f>
        <v>7381.119999999999</v>
      </c>
    </row>
    <row r="150" spans="1:18">
      <c r="A150" s="95" t="s">
        <v>136</v>
      </c>
      <c r="B150" s="95">
        <f>B29*$V$21</f>
        <v>175.92000000000002</v>
      </c>
      <c r="C150" s="95">
        <f>C29*$V$21</f>
        <v>164</v>
      </c>
      <c r="D150" s="95">
        <f>D29*$V$21</f>
        <v>206.8</v>
      </c>
      <c r="E150" s="96">
        <f t="shared" si="32"/>
        <v>546.72</v>
      </c>
      <c r="F150" s="95">
        <f>F29*$V$21</f>
        <v>256.64</v>
      </c>
      <c r="G150" s="95">
        <f>G29*$V$21</f>
        <v>309.76</v>
      </c>
      <c r="H150" s="95">
        <f>H29*$V$21</f>
        <v>327.2</v>
      </c>
      <c r="I150" s="96">
        <f t="shared" si="29"/>
        <v>893.59999999999991</v>
      </c>
      <c r="J150" s="95">
        <f>J29*$V$21</f>
        <v>312.60000000000002</v>
      </c>
      <c r="K150" s="95">
        <f>K29*$V$21</f>
        <v>323</v>
      </c>
      <c r="L150" s="95">
        <f>L29*$V$21</f>
        <v>314</v>
      </c>
      <c r="M150" s="96">
        <f t="shared" si="30"/>
        <v>949.6</v>
      </c>
      <c r="N150" s="95">
        <f>N29*$V$21</f>
        <v>249.92000000000002</v>
      </c>
      <c r="O150" s="95">
        <f>O29*$V$21</f>
        <v>225.04</v>
      </c>
      <c r="P150" s="95">
        <f>P29*$V$21</f>
        <v>160.64000000000001</v>
      </c>
      <c r="Q150" s="96">
        <f t="shared" si="31"/>
        <v>635.6</v>
      </c>
      <c r="R150" s="96">
        <f>E150+I150+M150+Q150</f>
        <v>3025.52</v>
      </c>
    </row>
    <row r="151" spans="1:18">
      <c r="A151" s="95" t="s">
        <v>137</v>
      </c>
      <c r="B151" s="95">
        <f>B30*$V$30</f>
        <v>53.76</v>
      </c>
      <c r="C151" s="95">
        <f>C30*$V$30</f>
        <v>51.76</v>
      </c>
      <c r="D151" s="95">
        <f>D30*$V$30</f>
        <v>63.52</v>
      </c>
      <c r="E151" s="96">
        <f t="shared" si="32"/>
        <v>169.04</v>
      </c>
      <c r="F151" s="95">
        <f>F30*$V$30</f>
        <v>81.552000000000007</v>
      </c>
      <c r="G151" s="95">
        <f>G30*$V$30</f>
        <v>114.048</v>
      </c>
      <c r="H151" s="95">
        <f>H30*$V$30</f>
        <v>104.64</v>
      </c>
      <c r="I151" s="96">
        <f t="shared" si="29"/>
        <v>300.24</v>
      </c>
      <c r="J151" s="95">
        <f>J30*$V$30</f>
        <v>49.84</v>
      </c>
      <c r="K151" s="95">
        <f>K30*$V$30</f>
        <v>50.72</v>
      </c>
      <c r="L151" s="95">
        <f>L30*$V$30</f>
        <v>44.800000000000004</v>
      </c>
      <c r="M151" s="96">
        <f t="shared" si="30"/>
        <v>145.36000000000001</v>
      </c>
      <c r="N151" s="95">
        <f>N30*$V$30</f>
        <v>39.68</v>
      </c>
      <c r="O151" s="95">
        <f>O30*$V$30</f>
        <v>35.119999999999997</v>
      </c>
      <c r="P151" s="95">
        <f>P30*$V$30</f>
        <v>39.28</v>
      </c>
      <c r="Q151" s="96">
        <f t="shared" si="31"/>
        <v>114.08</v>
      </c>
      <c r="R151" s="96">
        <f>E151+I151+M151+Q151</f>
        <v>728.72</v>
      </c>
    </row>
    <row r="152" spans="1:18">
      <c r="A152" s="95" t="s">
        <v>138</v>
      </c>
      <c r="B152" s="95">
        <f>SUM(B148:B151)</f>
        <v>1701.1200000000001</v>
      </c>
      <c r="C152" s="95">
        <f>SUM(C148:C151)</f>
        <v>1538.5600000000002</v>
      </c>
      <c r="D152" s="95">
        <f>SUM(D148:D151)</f>
        <v>1760.0800000000002</v>
      </c>
      <c r="E152" s="96">
        <f t="shared" si="32"/>
        <v>4999.76</v>
      </c>
      <c r="F152" s="95">
        <f>SUM(F148:F151)</f>
        <v>1900.432</v>
      </c>
      <c r="G152" s="95">
        <f>SUM(G148:G151)</f>
        <v>2104.808</v>
      </c>
      <c r="H152" s="95">
        <f>SUM(H148:H151)</f>
        <v>2174.7599999999998</v>
      </c>
      <c r="I152" s="96">
        <f t="shared" si="29"/>
        <v>6180</v>
      </c>
      <c r="J152" s="95">
        <f>SUM(J148:J151)</f>
        <v>1675.28</v>
      </c>
      <c r="K152" s="95">
        <f>SUM(K148:K151)</f>
        <v>1989.2</v>
      </c>
      <c r="L152" s="95">
        <f>SUM(L148:L151)</f>
        <v>1963.9199999999998</v>
      </c>
      <c r="M152" s="96">
        <f t="shared" si="30"/>
        <v>5628.4</v>
      </c>
      <c r="N152" s="95">
        <f>SUM(N148:N151)</f>
        <v>1765.16</v>
      </c>
      <c r="O152" s="95">
        <f>SUM(O148:O151)</f>
        <v>1601.08</v>
      </c>
      <c r="P152" s="95">
        <f>SUM(P148:P151)</f>
        <v>1472.88</v>
      </c>
      <c r="Q152" s="96">
        <f t="shared" si="31"/>
        <v>4839.12</v>
      </c>
      <c r="R152" s="96">
        <f>E152+I152+M152+Q152</f>
        <v>21647.279999999999</v>
      </c>
    </row>
    <row r="153" spans="1:18">
      <c r="A153" s="95" t="s">
        <v>139</v>
      </c>
      <c r="B153" s="95">
        <f>SUM(B152-B147)</f>
        <v>410.56000000000017</v>
      </c>
      <c r="C153" s="95">
        <f>SUM(C152-C147)</f>
        <v>261.44000000000028</v>
      </c>
      <c r="D153" s="95">
        <f>SUM(D152-D147)</f>
        <v>348.56000000000017</v>
      </c>
      <c r="E153" s="96">
        <f t="shared" si="32"/>
        <v>1020.5600000000006</v>
      </c>
      <c r="F153" s="95">
        <f>SUM(F152-F147)</f>
        <v>462.03199999999993</v>
      </c>
      <c r="G153" s="95">
        <f>SUM(G152-G147)</f>
        <v>652.96799999999985</v>
      </c>
      <c r="H153" s="95">
        <f>SUM(H152-H147)</f>
        <v>749.79999999999973</v>
      </c>
      <c r="I153" s="96">
        <f t="shared" si="29"/>
        <v>1864.7999999999995</v>
      </c>
      <c r="J153" s="95">
        <f>SUM(J152-J147)</f>
        <v>317.52</v>
      </c>
      <c r="K153" s="95">
        <f>SUM(K152-K147)</f>
        <v>752.40000000000009</v>
      </c>
      <c r="L153" s="95">
        <f>SUM(L152-L147)</f>
        <v>552.39999999999986</v>
      </c>
      <c r="M153" s="96">
        <f t="shared" si="30"/>
        <v>1622.32</v>
      </c>
      <c r="N153" s="95">
        <f>SUM(N152-N147)</f>
        <v>380.52</v>
      </c>
      <c r="O153" s="95">
        <f>SUM(O152-O147)</f>
        <v>243.31999999999994</v>
      </c>
      <c r="P153" s="95">
        <f>SUM(P152-P147)</f>
        <v>222.6400000000001</v>
      </c>
      <c r="Q153" s="96">
        <f t="shared" si="31"/>
        <v>846.48</v>
      </c>
      <c r="R153" s="96">
        <f>E153+I153+M153+Q153</f>
        <v>5354.16</v>
      </c>
    </row>
    <row r="154" spans="1:18">
      <c r="A154" s="140" t="s">
        <v>140</v>
      </c>
      <c r="B154" s="95"/>
      <c r="C154" s="95"/>
      <c r="D154" s="95"/>
      <c r="E154" s="96"/>
      <c r="F154" s="95"/>
      <c r="G154" s="95"/>
      <c r="H154" s="95"/>
      <c r="I154" s="96"/>
      <c r="J154" s="95"/>
      <c r="K154" s="95"/>
      <c r="L154" s="95"/>
      <c r="M154" s="96"/>
      <c r="N154" s="95"/>
      <c r="O154" s="95"/>
      <c r="P154" s="95"/>
      <c r="Q154" s="96"/>
      <c r="R154" s="96"/>
    </row>
    <row r="155" spans="1:18">
      <c r="A155" s="95" t="s">
        <v>126</v>
      </c>
      <c r="B155" s="95">
        <v>4</v>
      </c>
      <c r="C155" s="95">
        <v>4</v>
      </c>
      <c r="D155" s="95">
        <v>4</v>
      </c>
      <c r="E155" s="96">
        <v>4</v>
      </c>
      <c r="F155" s="95">
        <v>4</v>
      </c>
      <c r="G155" s="95">
        <v>4</v>
      </c>
      <c r="H155" s="95">
        <v>4</v>
      </c>
      <c r="I155" s="96">
        <v>4</v>
      </c>
      <c r="J155" s="95">
        <v>4</v>
      </c>
      <c r="K155" s="95">
        <v>4</v>
      </c>
      <c r="L155" s="95">
        <v>4</v>
      </c>
      <c r="M155" s="96">
        <v>4</v>
      </c>
      <c r="N155" s="95">
        <v>4</v>
      </c>
      <c r="O155" s="95">
        <v>4</v>
      </c>
      <c r="P155" s="95">
        <v>4</v>
      </c>
      <c r="Q155" s="96">
        <v>4</v>
      </c>
      <c r="R155" s="96">
        <v>4</v>
      </c>
    </row>
    <row r="156" spans="1:18">
      <c r="A156" s="95" t="s">
        <v>127</v>
      </c>
      <c r="B156" s="95">
        <v>2</v>
      </c>
      <c r="C156" s="95">
        <v>2</v>
      </c>
      <c r="D156" s="95">
        <v>2</v>
      </c>
      <c r="E156" s="96">
        <v>2</v>
      </c>
      <c r="F156" s="95">
        <v>2</v>
      </c>
      <c r="G156" s="95">
        <v>2</v>
      </c>
      <c r="H156" s="95">
        <v>2</v>
      </c>
      <c r="I156" s="96">
        <v>2</v>
      </c>
      <c r="J156" s="95">
        <v>2</v>
      </c>
      <c r="K156" s="95">
        <v>2</v>
      </c>
      <c r="L156" s="95">
        <v>2</v>
      </c>
      <c r="M156" s="96">
        <v>2</v>
      </c>
      <c r="N156" s="95">
        <v>2</v>
      </c>
      <c r="O156" s="95">
        <v>2</v>
      </c>
      <c r="P156" s="95">
        <v>2</v>
      </c>
      <c r="Q156" s="96">
        <v>2</v>
      </c>
      <c r="R156" s="96">
        <v>2</v>
      </c>
    </row>
    <row r="157" spans="1:18">
      <c r="A157" s="95" t="s">
        <v>128</v>
      </c>
      <c r="B157" s="95">
        <v>34</v>
      </c>
      <c r="C157" s="95">
        <v>34</v>
      </c>
      <c r="D157" s="95">
        <v>34</v>
      </c>
      <c r="E157" s="96">
        <v>34</v>
      </c>
      <c r="F157" s="95">
        <v>34</v>
      </c>
      <c r="G157" s="95">
        <v>34</v>
      </c>
      <c r="H157" s="95">
        <v>34</v>
      </c>
      <c r="I157" s="96">
        <v>34</v>
      </c>
      <c r="J157" s="95">
        <v>34</v>
      </c>
      <c r="K157" s="95">
        <v>34</v>
      </c>
      <c r="L157" s="95">
        <v>34</v>
      </c>
      <c r="M157" s="96">
        <v>34</v>
      </c>
      <c r="N157" s="95">
        <v>34</v>
      </c>
      <c r="O157" s="95">
        <v>34</v>
      </c>
      <c r="P157" s="95">
        <v>34</v>
      </c>
      <c r="Q157" s="96">
        <v>34</v>
      </c>
      <c r="R157" s="96">
        <v>34</v>
      </c>
    </row>
    <row r="158" spans="1:18">
      <c r="A158" s="95" t="s">
        <v>129</v>
      </c>
      <c r="B158" s="95">
        <v>2</v>
      </c>
      <c r="C158" s="95">
        <v>2</v>
      </c>
      <c r="D158" s="95">
        <v>2</v>
      </c>
      <c r="E158" s="96">
        <v>2</v>
      </c>
      <c r="F158" s="95">
        <v>2</v>
      </c>
      <c r="G158" s="95">
        <v>2</v>
      </c>
      <c r="H158" s="95">
        <v>2</v>
      </c>
      <c r="I158" s="96">
        <v>2</v>
      </c>
      <c r="J158" s="95">
        <v>2</v>
      </c>
      <c r="K158" s="95">
        <v>2</v>
      </c>
      <c r="L158" s="95">
        <v>2</v>
      </c>
      <c r="M158" s="96">
        <v>2</v>
      </c>
      <c r="N158" s="95">
        <v>2</v>
      </c>
      <c r="O158" s="95">
        <v>2</v>
      </c>
      <c r="P158" s="95">
        <v>2</v>
      </c>
      <c r="Q158" s="96">
        <v>2</v>
      </c>
      <c r="R158" s="96">
        <v>2</v>
      </c>
    </row>
    <row r="159" spans="1:18">
      <c r="A159" s="95" t="s">
        <v>131</v>
      </c>
      <c r="B159" s="95">
        <v>0.02</v>
      </c>
      <c r="C159" s="95">
        <v>0.03</v>
      </c>
      <c r="D159" s="95">
        <v>0.03</v>
      </c>
      <c r="E159" s="96">
        <v>0</v>
      </c>
      <c r="F159" s="95">
        <v>0.03</v>
      </c>
      <c r="G159" s="95">
        <v>0.04</v>
      </c>
      <c r="H159" s="95">
        <v>0.04</v>
      </c>
      <c r="I159" s="96">
        <v>0</v>
      </c>
      <c r="J159" s="95">
        <v>0.05</v>
      </c>
      <c r="K159" s="95">
        <v>0.05</v>
      </c>
      <c r="L159" s="95">
        <v>0.03</v>
      </c>
      <c r="M159" s="96">
        <v>0</v>
      </c>
      <c r="N159" s="95">
        <v>0.03</v>
      </c>
      <c r="O159" s="95">
        <v>0.02</v>
      </c>
      <c r="P159" s="95">
        <v>0.04</v>
      </c>
      <c r="Q159" s="96">
        <v>0</v>
      </c>
      <c r="R159" s="96">
        <v>0</v>
      </c>
    </row>
    <row r="160" spans="1:18">
      <c r="A160" s="95" t="s">
        <v>132</v>
      </c>
      <c r="B160" s="95">
        <v>0</v>
      </c>
      <c r="C160" s="95">
        <v>0</v>
      </c>
      <c r="D160" s="95">
        <v>0.1</v>
      </c>
      <c r="E160" s="96">
        <v>0</v>
      </c>
      <c r="F160" s="95">
        <v>0.12</v>
      </c>
      <c r="G160" s="95">
        <v>0.12</v>
      </c>
      <c r="H160" s="95">
        <v>0.12</v>
      </c>
      <c r="I160" s="96">
        <v>0</v>
      </c>
      <c r="J160" s="95">
        <v>0.08</v>
      </c>
      <c r="K160" s="95">
        <v>0</v>
      </c>
      <c r="L160" s="95">
        <v>0.1</v>
      </c>
      <c r="M160" s="96">
        <v>0</v>
      </c>
      <c r="N160" s="95">
        <v>0.08</v>
      </c>
      <c r="O160" s="95">
        <v>0.05</v>
      </c>
      <c r="P160" s="95">
        <v>0</v>
      </c>
      <c r="Q160" s="96">
        <v>0</v>
      </c>
      <c r="R160" s="96">
        <v>0</v>
      </c>
    </row>
    <row r="161" spans="1:18">
      <c r="A161" s="95" t="s">
        <v>133</v>
      </c>
      <c r="B161" s="95">
        <f>(B137*B138*B157)*(1+B160-B159)-(B156*B157)-(B155*B157)</f>
        <v>5393.76</v>
      </c>
      <c r="C161" s="95">
        <f>(C137*C138*C157)*(1+C160-C159)-(C156*C157)-(C155*C157)</f>
        <v>5336.6399999999994</v>
      </c>
      <c r="D161" s="95">
        <f>(D137*D138*D157)*(1+D160-D159)-(D156*D157)-(D155*D157)</f>
        <v>5907.84</v>
      </c>
      <c r="E161" s="96">
        <f t="shared" ref="E161:E166" si="33">B161+C161+D161</f>
        <v>16638.239999999998</v>
      </c>
      <c r="F161" s="95">
        <f>(F137*F138*F157)*(1+F160-F159)-(F156*F157)-(F155*F157)</f>
        <v>6022.0800000000008</v>
      </c>
      <c r="G161" s="95">
        <f>(G137*G138*G157)*(1+G160-G159)-(G156*G157)-(G155*G157)</f>
        <v>5964.96</v>
      </c>
      <c r="H161" s="95">
        <f>(H137*H138*H157)*(1+H160-H159)-(H156*H157)-(H155*H157)</f>
        <v>5964.96</v>
      </c>
      <c r="I161" s="96">
        <f t="shared" ref="I161:I166" si="34">F161+G161+H161</f>
        <v>17952</v>
      </c>
      <c r="J161" s="95">
        <f>(J137*J138*J157)*(1+J160-J159)-(J156*J157)-(J155*J157)</f>
        <v>5679.3600000000006</v>
      </c>
      <c r="K161" s="95">
        <f>(K137*K138*K157)*(1+K160-K159)-(K156*K157)-(K155*K157)</f>
        <v>5222.3999999999996</v>
      </c>
      <c r="L161" s="95">
        <f>(L137*L138*L157)*(1+L160-L159)-(L156*L157)-(L155*L157)</f>
        <v>5907.84</v>
      </c>
      <c r="M161" s="96">
        <f t="shared" ref="M161:M166" si="35">J161+K161+L161</f>
        <v>16809.599999999999</v>
      </c>
      <c r="N161" s="95">
        <f>(N137*N138*N157)*(1+N160-N159)-(N156*N157)-(N155*N157)</f>
        <v>5793.6</v>
      </c>
      <c r="O161" s="95">
        <f>(O137*O138*O157)*(1+O160-O159)-(O156*O157)-(O155*O157)</f>
        <v>5679.3600000000006</v>
      </c>
      <c r="P161" s="95">
        <f>(P137*P138*P157)*(1+P160-P159)-(P156*P157)-(P155*P157)</f>
        <v>5279.5199999999995</v>
      </c>
      <c r="Q161" s="96">
        <f t="shared" ref="Q161:Q166" si="36">N161+O161+P161</f>
        <v>16752.48</v>
      </c>
      <c r="R161" s="96">
        <f>E161+M161+Q161+I161</f>
        <v>68152.319999999992</v>
      </c>
    </row>
    <row r="162" spans="1:18">
      <c r="A162" s="95" t="s">
        <v>134</v>
      </c>
      <c r="B162" s="95">
        <f>B27*$W$5</f>
        <v>4514.58</v>
      </c>
      <c r="C162" s="95">
        <f>C27*$W$5</f>
        <v>4027.7999999999997</v>
      </c>
      <c r="D162" s="95">
        <f>D27*$W$5</f>
        <v>4382.7</v>
      </c>
      <c r="E162" s="96">
        <f t="shared" si="33"/>
        <v>12925.079999999998</v>
      </c>
      <c r="F162" s="95">
        <f>F27*$W$5</f>
        <v>4554.8999999999996</v>
      </c>
      <c r="G162" s="95">
        <f>G27*$W$5</f>
        <v>5205.6899999999996</v>
      </c>
      <c r="H162" s="95">
        <f>H27*$W$5</f>
        <v>5235.09</v>
      </c>
      <c r="I162" s="96">
        <f t="shared" si="34"/>
        <v>14995.68</v>
      </c>
      <c r="J162" s="95">
        <f>J27*$W$5</f>
        <v>5283.8099999999995</v>
      </c>
      <c r="K162" s="95">
        <f>K27*$W$5</f>
        <v>5062.47</v>
      </c>
      <c r="L162" s="95">
        <f>L27*$W$5</f>
        <v>4831.26</v>
      </c>
      <c r="M162" s="96">
        <f t="shared" si="35"/>
        <v>15177.539999999999</v>
      </c>
      <c r="N162" s="95">
        <f>N27*$W$5</f>
        <v>4482.87</v>
      </c>
      <c r="O162" s="95">
        <f>O27*$W$5</f>
        <v>3845.73</v>
      </c>
      <c r="P162" s="95">
        <f>P27*$W$5</f>
        <v>3760.68</v>
      </c>
      <c r="Q162" s="96">
        <f t="shared" si="36"/>
        <v>12089.28</v>
      </c>
      <c r="R162" s="96">
        <f>E162+I162+M162+Q162</f>
        <v>55187.579999999994</v>
      </c>
    </row>
    <row r="163" spans="1:18">
      <c r="A163" s="95" t="s">
        <v>135</v>
      </c>
      <c r="B163" s="142">
        <f>B28*$W$13</f>
        <v>2522.52</v>
      </c>
      <c r="C163" s="144">
        <f>C28*$W$13</f>
        <v>2291.85</v>
      </c>
      <c r="D163" s="144">
        <f>D28*$W$13</f>
        <v>2701.71</v>
      </c>
      <c r="E163" s="148">
        <f t="shared" si="33"/>
        <v>7516.08</v>
      </c>
      <c r="F163" s="144">
        <f>F28*$W$13</f>
        <v>2865.3900000000003</v>
      </c>
      <c r="G163" s="144">
        <f>G28*$W$13</f>
        <v>2843.94</v>
      </c>
      <c r="H163" s="144">
        <f>H28*$W$13</f>
        <v>3076.26</v>
      </c>
      <c r="I163" s="148">
        <f t="shared" si="34"/>
        <v>8785.59</v>
      </c>
      <c r="J163" s="144">
        <f>J28*$W$13</f>
        <v>1263.9000000000001</v>
      </c>
      <c r="K163" s="144">
        <f>K28*$W$13</f>
        <v>2686.2000000000003</v>
      </c>
      <c r="L163" s="144">
        <f>L28*$W$13</f>
        <v>2825.13</v>
      </c>
      <c r="M163" s="148">
        <f t="shared" si="35"/>
        <v>6775.2300000000005</v>
      </c>
      <c r="N163" s="144">
        <f>N28*$W$13</f>
        <v>2564.4300000000003</v>
      </c>
      <c r="O163" s="144">
        <f>O28*$W$13</f>
        <v>2509.65</v>
      </c>
      <c r="P163" s="144">
        <f>P28*$W$13</f>
        <v>2296.1400000000003</v>
      </c>
      <c r="Q163" s="148">
        <f t="shared" si="36"/>
        <v>7370.22</v>
      </c>
      <c r="R163" s="148">
        <f>E163+I163+M163+Q163</f>
        <v>30447.120000000003</v>
      </c>
    </row>
    <row r="164" spans="1:18">
      <c r="A164" s="95" t="s">
        <v>141</v>
      </c>
      <c r="B164" s="95">
        <f>B29*$W$21</f>
        <v>901.58999999999992</v>
      </c>
      <c r="C164" s="95">
        <f>C29*$W$21</f>
        <v>840.5</v>
      </c>
      <c r="D164" s="95">
        <f>D29*$W$21</f>
        <v>1059.8499999999999</v>
      </c>
      <c r="E164" s="96">
        <f t="shared" si="33"/>
        <v>2801.9399999999996</v>
      </c>
      <c r="F164" s="95">
        <f>F29*$W$21</f>
        <v>1315.28</v>
      </c>
      <c r="G164" s="95">
        <f>G29*$W$21</f>
        <v>1587.52</v>
      </c>
      <c r="H164" s="95">
        <f>H29*$W$21</f>
        <v>1676.8999999999999</v>
      </c>
      <c r="I164" s="96">
        <f t="shared" si="34"/>
        <v>4579.7</v>
      </c>
      <c r="J164" s="95">
        <f>J29*$W$21</f>
        <v>1602.0749999999998</v>
      </c>
      <c r="K164" s="95">
        <f>K29*$W$21</f>
        <v>1655.375</v>
      </c>
      <c r="L164" s="95">
        <f>L29*$W$21</f>
        <v>1609.25</v>
      </c>
      <c r="M164" s="96">
        <f t="shared" si="35"/>
        <v>4866.7</v>
      </c>
      <c r="N164" s="95">
        <f>N29*$W$21</f>
        <v>1280.8399999999999</v>
      </c>
      <c r="O164" s="95">
        <f>O29*$W$21</f>
        <v>1153.33</v>
      </c>
      <c r="P164" s="95">
        <f>P29*$W$21</f>
        <v>823.28</v>
      </c>
      <c r="Q164" s="96">
        <f t="shared" si="36"/>
        <v>3257.45</v>
      </c>
      <c r="R164" s="96">
        <f>E164+I164+M164+Q164</f>
        <v>15505.79</v>
      </c>
    </row>
    <row r="165" spans="1:18">
      <c r="A165" s="95" t="s">
        <v>137</v>
      </c>
      <c r="B165" s="95">
        <f>B30*$W$30</f>
        <v>282.24</v>
      </c>
      <c r="C165" s="95">
        <f>C30*$W$30</f>
        <v>271.74</v>
      </c>
      <c r="D165" s="95">
        <f>D30*$W$30</f>
        <v>333.47999999999996</v>
      </c>
      <c r="E165" s="96">
        <f t="shared" si="33"/>
        <v>887.46</v>
      </c>
      <c r="F165" s="95">
        <f>F30*$W$30</f>
        <v>428.14800000000002</v>
      </c>
      <c r="G165" s="95">
        <f>G30*$W$30</f>
        <v>598.75199999999995</v>
      </c>
      <c r="H165" s="95">
        <f>H30*$W$30</f>
        <v>549.36</v>
      </c>
      <c r="I165" s="96">
        <f t="shared" si="34"/>
        <v>1576.2600000000002</v>
      </c>
      <c r="J165" s="95">
        <f>J30*$W$30</f>
        <v>261.65999999999997</v>
      </c>
      <c r="K165" s="95">
        <f>K30*$W$30</f>
        <v>266.27999999999997</v>
      </c>
      <c r="L165" s="95">
        <f>L30*$W$30</f>
        <v>235.2</v>
      </c>
      <c r="M165" s="96">
        <f t="shared" si="35"/>
        <v>763.13999999999987</v>
      </c>
      <c r="N165" s="95">
        <f>N30*$W$30</f>
        <v>208.32</v>
      </c>
      <c r="O165" s="95">
        <f>O30*$W$30</f>
        <v>184.38</v>
      </c>
      <c r="P165" s="95">
        <f>P30*$W$30</f>
        <v>206.22</v>
      </c>
      <c r="Q165" s="96">
        <f t="shared" si="36"/>
        <v>598.91999999999996</v>
      </c>
      <c r="R165" s="96">
        <f>E165+I165+M165+Q165</f>
        <v>3825.78</v>
      </c>
    </row>
    <row r="166" spans="1:18">
      <c r="A166" s="95" t="s">
        <v>138</v>
      </c>
      <c r="B166" s="95">
        <f>SUM(B162:B165)</f>
        <v>8220.93</v>
      </c>
      <c r="C166" s="95">
        <f>SUM(C162:C165)</f>
        <v>7431.8899999999994</v>
      </c>
      <c r="D166" s="95">
        <f>SUM(D162:D165)</f>
        <v>8477.74</v>
      </c>
      <c r="E166" s="96">
        <f t="shared" si="33"/>
        <v>24130.559999999998</v>
      </c>
      <c r="F166" s="95">
        <f>SUM(F162:F165)</f>
        <v>9163.7179999999989</v>
      </c>
      <c r="G166" s="95">
        <f>SUM(G162:G165)</f>
        <v>10235.902</v>
      </c>
      <c r="H166" s="95">
        <f>SUM(H162:H165)</f>
        <v>10537.61</v>
      </c>
      <c r="I166" s="96">
        <f t="shared" si="34"/>
        <v>29937.23</v>
      </c>
      <c r="J166" s="95">
        <f>SUM(J162:J165)</f>
        <v>8411.4449999999997</v>
      </c>
      <c r="K166" s="95">
        <f>SUM(K162:K165)</f>
        <v>9670.3250000000007</v>
      </c>
      <c r="L166" s="95">
        <f>SUM(L162:L165)</f>
        <v>9500.84</v>
      </c>
      <c r="M166" s="96">
        <f t="shared" si="35"/>
        <v>27582.61</v>
      </c>
      <c r="N166" s="95">
        <f>SUM(N162:N165)</f>
        <v>8536.4599999999991</v>
      </c>
      <c r="O166" s="95">
        <f>SUM(O162:O165)</f>
        <v>7693.09</v>
      </c>
      <c r="P166" s="95">
        <f>SUM(P162:P165)</f>
        <v>7086.32</v>
      </c>
      <c r="Q166" s="96">
        <f t="shared" si="36"/>
        <v>23315.87</v>
      </c>
      <c r="R166" s="96">
        <f>E166+I166+M166+Q166</f>
        <v>104966.26999999999</v>
      </c>
    </row>
    <row r="167" spans="1:18">
      <c r="A167" s="95" t="s">
        <v>139</v>
      </c>
      <c r="B167" s="95">
        <f>B166-B161</f>
        <v>2827.17</v>
      </c>
      <c r="C167" s="95">
        <f>C166-C161</f>
        <v>2095.25</v>
      </c>
      <c r="D167" s="95">
        <f>D166-D161</f>
        <v>2569.8999999999996</v>
      </c>
      <c r="E167" s="96"/>
      <c r="F167" s="95">
        <f>F166-F161</f>
        <v>3141.6379999999981</v>
      </c>
      <c r="G167" s="95">
        <f>G166-G161</f>
        <v>4270.942</v>
      </c>
      <c r="H167" s="95">
        <f>H166-H161</f>
        <v>4572.6500000000005</v>
      </c>
      <c r="I167" s="96"/>
      <c r="J167" s="95">
        <f>J166-J161</f>
        <v>2732.0849999999991</v>
      </c>
      <c r="K167" s="95">
        <f>K166-K161</f>
        <v>4447.9250000000011</v>
      </c>
      <c r="L167" s="95"/>
      <c r="M167" s="96"/>
      <c r="N167" s="95"/>
      <c r="O167" s="95"/>
      <c r="P167" s="95"/>
      <c r="Q167" s="96"/>
      <c r="R167" s="96"/>
    </row>
    <row r="168" spans="1:18">
      <c r="A168" s="140" t="s">
        <v>142</v>
      </c>
      <c r="B168" s="95"/>
      <c r="C168" s="95"/>
      <c r="D168" s="95"/>
      <c r="E168" s="96"/>
      <c r="F168" s="95"/>
      <c r="G168" s="95"/>
      <c r="H168" s="95"/>
      <c r="I168" s="96"/>
      <c r="J168" s="95"/>
      <c r="K168" s="95"/>
      <c r="L168" s="95"/>
      <c r="M168" s="96"/>
      <c r="N168" s="95"/>
      <c r="O168" s="95"/>
      <c r="P168" s="95"/>
      <c r="Q168" s="96"/>
      <c r="R168" s="96"/>
    </row>
    <row r="169" spans="1:18">
      <c r="A169" s="95" t="s">
        <v>143</v>
      </c>
      <c r="B169" s="95">
        <v>4</v>
      </c>
      <c r="C169" s="95">
        <v>4</v>
      </c>
      <c r="D169" s="95">
        <v>4</v>
      </c>
      <c r="E169" s="96">
        <v>4</v>
      </c>
      <c r="F169" s="95">
        <v>4</v>
      </c>
      <c r="G169" s="95">
        <v>4</v>
      </c>
      <c r="H169" s="95">
        <v>4</v>
      </c>
      <c r="I169" s="96">
        <v>4</v>
      </c>
      <c r="J169" s="95">
        <v>4</v>
      </c>
      <c r="K169" s="95">
        <v>4</v>
      </c>
      <c r="L169" s="95">
        <v>4</v>
      </c>
      <c r="M169" s="96">
        <v>4</v>
      </c>
      <c r="N169" s="95">
        <v>4</v>
      </c>
      <c r="O169" s="95">
        <v>4</v>
      </c>
      <c r="P169" s="95">
        <v>4</v>
      </c>
      <c r="Q169" s="96">
        <v>4</v>
      </c>
      <c r="R169" s="96">
        <v>4</v>
      </c>
    </row>
    <row r="170" spans="1:18">
      <c r="A170" s="95" t="s">
        <v>127</v>
      </c>
      <c r="B170" s="95">
        <v>2</v>
      </c>
      <c r="C170" s="95">
        <v>2</v>
      </c>
      <c r="D170" s="95">
        <v>2</v>
      </c>
      <c r="E170" s="96">
        <v>2</v>
      </c>
      <c r="F170" s="95">
        <v>2</v>
      </c>
      <c r="G170" s="95">
        <v>2</v>
      </c>
      <c r="H170" s="95">
        <v>2</v>
      </c>
      <c r="I170" s="96">
        <v>2</v>
      </c>
      <c r="J170" s="95">
        <v>2</v>
      </c>
      <c r="K170" s="95">
        <v>2</v>
      </c>
      <c r="L170" s="95">
        <v>2</v>
      </c>
      <c r="M170" s="96">
        <v>2</v>
      </c>
      <c r="N170" s="95">
        <v>2</v>
      </c>
      <c r="O170" s="95">
        <v>2</v>
      </c>
      <c r="P170" s="95">
        <v>2</v>
      </c>
      <c r="Q170" s="96">
        <v>2</v>
      </c>
      <c r="R170" s="96">
        <v>2</v>
      </c>
    </row>
    <row r="171" spans="1:18">
      <c r="A171" s="95" t="s">
        <v>128</v>
      </c>
      <c r="B171" s="95">
        <v>7</v>
      </c>
      <c r="C171" s="95">
        <v>7</v>
      </c>
      <c r="D171" s="95">
        <v>7</v>
      </c>
      <c r="E171" s="96">
        <v>7</v>
      </c>
      <c r="F171" s="95">
        <v>7</v>
      </c>
      <c r="G171" s="95">
        <v>7</v>
      </c>
      <c r="H171" s="95">
        <v>7</v>
      </c>
      <c r="I171" s="96">
        <v>7</v>
      </c>
      <c r="J171" s="95">
        <v>7</v>
      </c>
      <c r="K171" s="95">
        <v>7</v>
      </c>
      <c r="L171" s="95">
        <v>7</v>
      </c>
      <c r="M171" s="96">
        <v>7</v>
      </c>
      <c r="N171" s="95">
        <v>7</v>
      </c>
      <c r="O171" s="95">
        <v>7</v>
      </c>
      <c r="P171" s="95">
        <v>7</v>
      </c>
      <c r="Q171" s="96">
        <v>7</v>
      </c>
      <c r="R171" s="96">
        <v>7</v>
      </c>
    </row>
    <row r="172" spans="1:18">
      <c r="A172" s="95" t="s">
        <v>129</v>
      </c>
      <c r="B172" s="95">
        <v>2</v>
      </c>
      <c r="C172" s="95">
        <v>2</v>
      </c>
      <c r="D172" s="95">
        <v>2</v>
      </c>
      <c r="E172" s="96">
        <v>2</v>
      </c>
      <c r="F172" s="95">
        <v>2</v>
      </c>
      <c r="G172" s="95">
        <v>2</v>
      </c>
      <c r="H172" s="95">
        <v>2</v>
      </c>
      <c r="I172" s="96">
        <v>2</v>
      </c>
      <c r="J172" s="95">
        <v>2</v>
      </c>
      <c r="K172" s="95">
        <v>2</v>
      </c>
      <c r="L172" s="95">
        <v>2</v>
      </c>
      <c r="M172" s="96">
        <v>2</v>
      </c>
      <c r="N172" s="95">
        <v>2</v>
      </c>
      <c r="O172" s="95">
        <v>2</v>
      </c>
      <c r="P172" s="95">
        <v>2</v>
      </c>
      <c r="Q172" s="96">
        <v>2</v>
      </c>
      <c r="R172" s="96">
        <v>2</v>
      </c>
    </row>
    <row r="173" spans="1:18">
      <c r="A173" s="95" t="s">
        <v>131</v>
      </c>
      <c r="B173" s="95">
        <v>0.02</v>
      </c>
      <c r="C173" s="95">
        <v>0.03</v>
      </c>
      <c r="D173" s="95">
        <v>0.03</v>
      </c>
      <c r="E173" s="96">
        <v>0</v>
      </c>
      <c r="F173" s="95">
        <v>0.03</v>
      </c>
      <c r="G173" s="95">
        <v>0.04</v>
      </c>
      <c r="H173" s="95">
        <v>0.04</v>
      </c>
      <c r="I173" s="96">
        <v>0</v>
      </c>
      <c r="J173" s="95">
        <v>0.05</v>
      </c>
      <c r="K173" s="95">
        <v>0.05</v>
      </c>
      <c r="L173" s="95">
        <v>0.03</v>
      </c>
      <c r="M173" s="96">
        <v>0</v>
      </c>
      <c r="N173" s="95">
        <v>0.03</v>
      </c>
      <c r="O173" s="95">
        <v>0.02</v>
      </c>
      <c r="P173" s="95">
        <v>0.04</v>
      </c>
      <c r="Q173" s="96">
        <v>0</v>
      </c>
      <c r="R173" s="96">
        <v>0</v>
      </c>
    </row>
    <row r="174" spans="1:18" ht="18.75" customHeight="1">
      <c r="A174" s="95" t="s">
        <v>132</v>
      </c>
      <c r="B174" s="95">
        <v>0</v>
      </c>
      <c r="C174" s="95">
        <v>0</v>
      </c>
      <c r="D174" s="95">
        <v>0.12</v>
      </c>
      <c r="E174" s="96">
        <v>0</v>
      </c>
      <c r="F174" s="95">
        <v>0.14000000000000001</v>
      </c>
      <c r="G174" s="95">
        <v>0.14000000000000001</v>
      </c>
      <c r="H174" s="95">
        <v>0.14000000000000001</v>
      </c>
      <c r="I174" s="96">
        <v>0</v>
      </c>
      <c r="J174" s="95">
        <v>0.1</v>
      </c>
      <c r="K174" s="95">
        <v>0</v>
      </c>
      <c r="L174" s="95">
        <v>0.12</v>
      </c>
      <c r="M174" s="96">
        <v>0</v>
      </c>
      <c r="N174" s="95">
        <v>0.1</v>
      </c>
      <c r="O174" s="95">
        <v>0.05</v>
      </c>
      <c r="P174" s="95">
        <v>0</v>
      </c>
      <c r="Q174" s="96">
        <v>0</v>
      </c>
      <c r="R174" s="96">
        <v>0</v>
      </c>
    </row>
    <row r="175" spans="1:18">
      <c r="A175" s="95" t="s">
        <v>133</v>
      </c>
      <c r="B175" s="95">
        <f>(B137*B138*B171)*(1+B174-B173)-(B170*B171)-(B169*B171)</f>
        <v>1110.48</v>
      </c>
      <c r="C175" s="95">
        <f>(C137*C138*C171)*(1+C174-C173)-(C170*C171)-(C169*C171)</f>
        <v>1098.72</v>
      </c>
      <c r="D175" s="95">
        <f>(D137*D138*D171)*(1+D174-D173)-(D170*D171)-(D169*D171)</f>
        <v>1239.8400000000001</v>
      </c>
      <c r="E175" s="98">
        <f t="shared" ref="E175:E181" si="37">B175+C175+D175</f>
        <v>3449.04</v>
      </c>
      <c r="F175" s="95">
        <f>(F137*F138*F171)*(1+F174-F173)-(F170*F171)-(F169*F171)</f>
        <v>1263.3600000000001</v>
      </c>
      <c r="G175" s="95">
        <f>(G137*G138*G171)*(1+G174-G173)-(G170*G171)-(G169*G171)</f>
        <v>1251.6000000000001</v>
      </c>
      <c r="H175" s="95">
        <f>(H137*H138*H171)*(1+H174-H173)-(H170*H171)-(H169*H171)</f>
        <v>1251.6000000000001</v>
      </c>
      <c r="I175" s="98">
        <f t="shared" ref="I175:I181" si="38">F175+G175+H175</f>
        <v>3766.5600000000004</v>
      </c>
      <c r="J175" s="95">
        <f>(J137*J138*J171)*(1+J174-J173)-(J170*J171)-(J169*J171)</f>
        <v>1192.8</v>
      </c>
      <c r="K175" s="95">
        <f>(K137*K138*K171)*(1+K174-K173)-(K170*K171)-(K169*K171)</f>
        <v>1075.2</v>
      </c>
      <c r="L175" s="95">
        <f>(L137*L138*L171)*(1+L174-L173)-(L170*L171)-(L169*L171)</f>
        <v>1239.8400000000001</v>
      </c>
      <c r="M175" s="98">
        <f t="shared" ref="M175:M181" si="39">J175+K175+L175</f>
        <v>3507.84</v>
      </c>
      <c r="N175" s="95">
        <f>(N137*N138*N171)*(1+N174-N173)-(N170*N171)-(N169*N171)</f>
        <v>1216.3200000000002</v>
      </c>
      <c r="O175" s="95">
        <f>(O137*O138*O171)*(1+O174-O173)-(O170*O171)-(O169*O171)</f>
        <v>1169.28</v>
      </c>
      <c r="P175" s="95">
        <f>(P137*P138*P171)*(1+P174-P173)-(P170*P171)-(P169*P171)</f>
        <v>1086.96</v>
      </c>
      <c r="Q175" s="98">
        <f t="shared" ref="Q175:Q181" si="40">N175+O175+P175</f>
        <v>3472.5600000000004</v>
      </c>
      <c r="R175" s="98">
        <f t="shared" ref="R175:R181" si="41">E175+I175+M175+Q175</f>
        <v>14196</v>
      </c>
    </row>
    <row r="176" spans="1:18">
      <c r="A176" s="95" t="s">
        <v>134</v>
      </c>
      <c r="B176" s="95">
        <f>B27*$X$5</f>
        <v>859.92000000000007</v>
      </c>
      <c r="C176" s="95">
        <f>C27*$X$5</f>
        <v>767.2</v>
      </c>
      <c r="D176" s="95">
        <f>D27*$X$5</f>
        <v>834.80000000000007</v>
      </c>
      <c r="E176" s="98">
        <f t="shared" si="37"/>
        <v>2461.92</v>
      </c>
      <c r="F176" s="95">
        <f>F27*$X$5</f>
        <v>867.6</v>
      </c>
      <c r="G176" s="95">
        <f>G27*$X$5</f>
        <v>991.56000000000006</v>
      </c>
      <c r="H176" s="95">
        <f>H27*$X$5</f>
        <v>997.16</v>
      </c>
      <c r="I176" s="98">
        <f t="shared" si="38"/>
        <v>2856.32</v>
      </c>
      <c r="J176" s="95">
        <f>J27*$X$5</f>
        <v>1006.44</v>
      </c>
      <c r="K176" s="95">
        <f>K27*$X$5</f>
        <v>964.28</v>
      </c>
      <c r="L176" s="95">
        <f>L27*$X$5</f>
        <v>920.24</v>
      </c>
      <c r="M176" s="98">
        <f t="shared" si="39"/>
        <v>2890.96</v>
      </c>
      <c r="N176" s="95">
        <f>N27*$X$5</f>
        <v>853.88</v>
      </c>
      <c r="O176" s="95">
        <f>O27*$X$5</f>
        <v>732.52</v>
      </c>
      <c r="P176" s="95">
        <f>P27*$X$5</f>
        <v>716.32</v>
      </c>
      <c r="Q176" s="98">
        <f t="shared" si="40"/>
        <v>2302.7200000000003</v>
      </c>
      <c r="R176" s="98">
        <f t="shared" si="41"/>
        <v>10511.920000000002</v>
      </c>
    </row>
    <row r="177" spans="1:18">
      <c r="A177" s="95" t="s">
        <v>135</v>
      </c>
      <c r="B177" s="95">
        <f>B28*$X$13</f>
        <v>611.52</v>
      </c>
      <c r="C177" s="95">
        <f>C28*$X$13</f>
        <v>555.6</v>
      </c>
      <c r="D177" s="95">
        <f>D28*$X$13</f>
        <v>654.96</v>
      </c>
      <c r="E177" s="98">
        <f t="shared" si="37"/>
        <v>1822.08</v>
      </c>
      <c r="F177" s="95">
        <f>F28*$X$13</f>
        <v>694.64</v>
      </c>
      <c r="G177" s="95">
        <f>G28*$X$13</f>
        <v>689.44</v>
      </c>
      <c r="H177" s="95">
        <f>H28*$X$13</f>
        <v>745.76</v>
      </c>
      <c r="I177" s="98">
        <f t="shared" si="38"/>
        <v>2129.84</v>
      </c>
      <c r="J177" s="95">
        <f>J28*$X$13</f>
        <v>306.40000000000003</v>
      </c>
      <c r="K177" s="95">
        <f>K28*$X$13</f>
        <v>651.20000000000005</v>
      </c>
      <c r="L177" s="95">
        <f>L28*$X$13</f>
        <v>684.88</v>
      </c>
      <c r="M177" s="98">
        <f t="shared" si="39"/>
        <v>1642.48</v>
      </c>
      <c r="N177" s="95">
        <f>N28*$X$13</f>
        <v>621.68000000000006</v>
      </c>
      <c r="O177" s="95">
        <f>O28*$X$13</f>
        <v>608.4</v>
      </c>
      <c r="P177" s="95">
        <f>P28*$X$13</f>
        <v>556.64</v>
      </c>
      <c r="Q177" s="96">
        <f t="shared" si="40"/>
        <v>1786.7199999999998</v>
      </c>
      <c r="R177" s="96">
        <f t="shared" si="41"/>
        <v>7381.119999999999</v>
      </c>
    </row>
    <row r="178" spans="1:18">
      <c r="A178" s="95" t="s">
        <v>136</v>
      </c>
      <c r="B178" s="95">
        <f>B29*$X$21</f>
        <v>109.95</v>
      </c>
      <c r="C178" s="95">
        <f>C29*$X$21</f>
        <v>102.5</v>
      </c>
      <c r="D178" s="95">
        <f>D29*$X$21</f>
        <v>129.25</v>
      </c>
      <c r="E178" s="98">
        <f t="shared" si="37"/>
        <v>341.7</v>
      </c>
      <c r="F178" s="95">
        <f>F29*$X$21</f>
        <v>160.4</v>
      </c>
      <c r="G178" s="95">
        <f>G29*$X$21</f>
        <v>193.60000000000002</v>
      </c>
      <c r="H178" s="95">
        <f>H29*$X$21</f>
        <v>204.5</v>
      </c>
      <c r="I178" s="98">
        <f t="shared" si="38"/>
        <v>558.5</v>
      </c>
      <c r="J178" s="95">
        <f>J29*$X$21</f>
        <v>195.375</v>
      </c>
      <c r="K178" s="95">
        <f>K29*$X$21</f>
        <v>201.875</v>
      </c>
      <c r="L178" s="95">
        <f>L29*$X$21</f>
        <v>196.25</v>
      </c>
      <c r="M178" s="98">
        <f t="shared" si="39"/>
        <v>593.5</v>
      </c>
      <c r="N178" s="95">
        <f>N29*$X$21</f>
        <v>156.20000000000002</v>
      </c>
      <c r="O178" s="98">
        <f>O29*$X$21</f>
        <v>140.65</v>
      </c>
      <c r="P178" s="95">
        <f>P29*$X$21</f>
        <v>100.4</v>
      </c>
      <c r="Q178" s="96">
        <f t="shared" si="40"/>
        <v>397.25</v>
      </c>
      <c r="R178" s="96">
        <f t="shared" si="41"/>
        <v>1890.95</v>
      </c>
    </row>
    <row r="179" spans="1:18">
      <c r="A179" s="95" t="s">
        <v>137</v>
      </c>
      <c r="B179" s="95">
        <f>B30*$X$30</f>
        <v>53.76</v>
      </c>
      <c r="C179" s="95">
        <f>C30*$X$30</f>
        <v>51.76</v>
      </c>
      <c r="D179" s="95">
        <f>D30*$X$30</f>
        <v>63.52</v>
      </c>
      <c r="E179" s="98">
        <f t="shared" si="37"/>
        <v>169.04</v>
      </c>
      <c r="F179" s="95">
        <f>F30*$X$30</f>
        <v>81.552000000000007</v>
      </c>
      <c r="G179" s="95">
        <f>G30*$X$30</f>
        <v>114.048</v>
      </c>
      <c r="H179" s="95">
        <f>H30*$X$30</f>
        <v>104.64</v>
      </c>
      <c r="I179" s="98">
        <f t="shared" si="38"/>
        <v>300.24</v>
      </c>
      <c r="J179" s="95">
        <f>J30*$X$30</f>
        <v>49.84</v>
      </c>
      <c r="K179" s="95">
        <f>K30*$X$30</f>
        <v>50.72</v>
      </c>
      <c r="L179" s="95">
        <f>L30*$X$30</f>
        <v>44.800000000000004</v>
      </c>
      <c r="M179" s="98">
        <f t="shared" si="39"/>
        <v>145.36000000000001</v>
      </c>
      <c r="N179" s="95">
        <f>N30*$X$30</f>
        <v>39.68</v>
      </c>
      <c r="O179" s="95">
        <f>O30*$X$30</f>
        <v>35.119999999999997</v>
      </c>
      <c r="P179" s="95">
        <f>P30*$X$30</f>
        <v>39.28</v>
      </c>
      <c r="Q179" s="96">
        <f t="shared" si="40"/>
        <v>114.08</v>
      </c>
      <c r="R179" s="96">
        <f t="shared" si="41"/>
        <v>728.72</v>
      </c>
    </row>
    <row r="180" spans="1:18">
      <c r="A180" s="95" t="s">
        <v>138</v>
      </c>
      <c r="B180" s="95">
        <f>SUM(B176:B179)</f>
        <v>1635.15</v>
      </c>
      <c r="C180" s="95">
        <f>SUM(C176:C179)</f>
        <v>1477.0600000000002</v>
      </c>
      <c r="D180" s="95">
        <f>SUM(D176:D179)</f>
        <v>1682.5300000000002</v>
      </c>
      <c r="E180" s="98">
        <f t="shared" si="37"/>
        <v>4794.74</v>
      </c>
      <c r="F180" s="95">
        <f>SUM(F176:F179)</f>
        <v>1804.192</v>
      </c>
      <c r="G180" s="95">
        <f>SUM(G176:G179)</f>
        <v>1988.6479999999999</v>
      </c>
      <c r="H180" s="98">
        <f>SUM(H176:H179)</f>
        <v>2052.06</v>
      </c>
      <c r="I180" s="98">
        <f t="shared" si="38"/>
        <v>5844.9</v>
      </c>
      <c r="J180" s="98">
        <f>SUM(J176:J179)</f>
        <v>1558.0550000000001</v>
      </c>
      <c r="K180" s="98">
        <f>SUM(K176:K179)</f>
        <v>1868.075</v>
      </c>
      <c r="L180" s="95">
        <f>SUM(L176:L179)</f>
        <v>1846.1699999999998</v>
      </c>
      <c r="M180" s="98">
        <f t="shared" si="39"/>
        <v>5272.3</v>
      </c>
      <c r="N180" s="95">
        <f>SUM(N176:N179)</f>
        <v>1671.44</v>
      </c>
      <c r="O180" s="95">
        <f>SUM(O176:O179)</f>
        <v>1516.69</v>
      </c>
      <c r="P180" s="95">
        <f>SUM(P176:P179)</f>
        <v>1412.64</v>
      </c>
      <c r="Q180" s="96">
        <f t="shared" si="40"/>
        <v>4600.7700000000004</v>
      </c>
      <c r="R180" s="96">
        <f t="shared" si="41"/>
        <v>20512.71</v>
      </c>
    </row>
    <row r="181" spans="1:18">
      <c r="A181" s="95" t="s">
        <v>139</v>
      </c>
      <c r="B181" s="95">
        <f>B180-B175</f>
        <v>524.67000000000007</v>
      </c>
      <c r="C181" s="95">
        <f>C180-C175</f>
        <v>378.34000000000015</v>
      </c>
      <c r="D181" s="95">
        <f>D180-D175</f>
        <v>442.69000000000005</v>
      </c>
      <c r="E181" s="98">
        <f t="shared" si="37"/>
        <v>1345.7000000000003</v>
      </c>
      <c r="F181" s="95">
        <f>F180-F175</f>
        <v>540.83199999999988</v>
      </c>
      <c r="G181" s="95">
        <f>G180-G175</f>
        <v>737.04799999999977</v>
      </c>
      <c r="H181" s="95">
        <f>H180-H175</f>
        <v>800.45999999999981</v>
      </c>
      <c r="I181" s="98">
        <f t="shared" si="38"/>
        <v>2078.3399999999992</v>
      </c>
      <c r="J181" s="95">
        <f>J180-J175</f>
        <v>365.25500000000011</v>
      </c>
      <c r="K181" s="95">
        <f>K180-K175</f>
        <v>792.875</v>
      </c>
      <c r="L181" s="95">
        <f>L180-L175</f>
        <v>606.3299999999997</v>
      </c>
      <c r="M181" s="98">
        <f t="shared" si="39"/>
        <v>1764.4599999999998</v>
      </c>
      <c r="N181" s="95">
        <f>N180-N175</f>
        <v>455.11999999999989</v>
      </c>
      <c r="O181" s="95">
        <f>O180-O175</f>
        <v>347.41000000000008</v>
      </c>
      <c r="P181" s="95">
        <f>P180-P175</f>
        <v>325.68000000000006</v>
      </c>
      <c r="Q181" s="96">
        <f t="shared" si="40"/>
        <v>1128.21</v>
      </c>
      <c r="R181" s="96">
        <f t="shared" si="41"/>
        <v>6316.7099999999991</v>
      </c>
    </row>
    <row r="182" spans="1:18">
      <c r="A182" s="140" t="s">
        <v>144</v>
      </c>
      <c r="B182" s="95"/>
      <c r="C182" s="95"/>
      <c r="D182" s="95"/>
      <c r="E182" s="96"/>
      <c r="F182" s="95"/>
      <c r="G182" s="95"/>
      <c r="H182" s="95"/>
      <c r="I182" s="96"/>
      <c r="J182" s="95"/>
      <c r="K182" s="95"/>
      <c r="L182" s="95"/>
      <c r="M182" s="96"/>
      <c r="N182" s="95"/>
      <c r="O182" s="95"/>
      <c r="P182" s="95"/>
      <c r="Q182" s="96"/>
      <c r="R182" s="96"/>
    </row>
    <row r="183" spans="1:18">
      <c r="A183" s="95" t="s">
        <v>143</v>
      </c>
      <c r="B183" s="95">
        <v>4</v>
      </c>
      <c r="C183" s="95">
        <v>4</v>
      </c>
      <c r="D183" s="95">
        <v>4</v>
      </c>
      <c r="E183" s="96">
        <v>4</v>
      </c>
      <c r="F183" s="95">
        <v>4</v>
      </c>
      <c r="G183" s="95">
        <v>4</v>
      </c>
      <c r="H183" s="95">
        <v>4</v>
      </c>
      <c r="I183" s="96">
        <v>4</v>
      </c>
      <c r="J183" s="95">
        <v>4</v>
      </c>
      <c r="K183" s="95">
        <v>4</v>
      </c>
      <c r="L183" s="95">
        <v>4</v>
      </c>
      <c r="M183" s="96">
        <v>4</v>
      </c>
      <c r="N183" s="95">
        <v>4</v>
      </c>
      <c r="O183" s="95">
        <v>4</v>
      </c>
      <c r="P183" s="95">
        <v>4</v>
      </c>
      <c r="Q183" s="96">
        <v>4</v>
      </c>
      <c r="R183" s="96">
        <v>4</v>
      </c>
    </row>
    <row r="184" spans="1:18">
      <c r="A184" s="95" t="s">
        <v>127</v>
      </c>
      <c r="B184" s="95">
        <v>2</v>
      </c>
      <c r="C184" s="95">
        <v>2</v>
      </c>
      <c r="D184" s="95">
        <v>2</v>
      </c>
      <c r="E184" s="96">
        <v>2</v>
      </c>
      <c r="F184" s="95">
        <v>2</v>
      </c>
      <c r="G184" s="95">
        <v>2</v>
      </c>
      <c r="H184" s="95">
        <v>2</v>
      </c>
      <c r="I184" s="96">
        <v>2</v>
      </c>
      <c r="J184" s="95">
        <v>2</v>
      </c>
      <c r="K184" s="95">
        <v>2</v>
      </c>
      <c r="L184" s="95">
        <v>2</v>
      </c>
      <c r="M184" s="96">
        <v>2</v>
      </c>
      <c r="N184" s="95">
        <v>2</v>
      </c>
      <c r="O184" s="95">
        <v>2</v>
      </c>
      <c r="P184" s="95">
        <v>2</v>
      </c>
      <c r="Q184" s="96">
        <v>2</v>
      </c>
      <c r="R184" s="96">
        <v>2</v>
      </c>
    </row>
    <row r="185" spans="1:18">
      <c r="A185" s="95" t="s">
        <v>128</v>
      </c>
      <c r="B185" s="95">
        <v>12</v>
      </c>
      <c r="C185" s="95">
        <v>12</v>
      </c>
      <c r="D185" s="95">
        <v>12</v>
      </c>
      <c r="E185" s="96">
        <v>12</v>
      </c>
      <c r="F185" s="95">
        <v>12</v>
      </c>
      <c r="G185" s="95">
        <v>12</v>
      </c>
      <c r="H185" s="95">
        <v>12</v>
      </c>
      <c r="I185" s="96">
        <v>12</v>
      </c>
      <c r="J185" s="95">
        <v>12</v>
      </c>
      <c r="K185" s="95">
        <v>12</v>
      </c>
      <c r="L185" s="95">
        <v>12</v>
      </c>
      <c r="M185" s="96">
        <v>12</v>
      </c>
      <c r="N185" s="95">
        <v>12</v>
      </c>
      <c r="O185" s="95">
        <v>12</v>
      </c>
      <c r="P185" s="95">
        <v>12</v>
      </c>
      <c r="Q185" s="96">
        <v>12</v>
      </c>
      <c r="R185" s="96">
        <v>12</v>
      </c>
    </row>
    <row r="186" spans="1:18">
      <c r="A186" s="95" t="s">
        <v>129</v>
      </c>
      <c r="B186" s="95">
        <v>2</v>
      </c>
      <c r="C186" s="95">
        <v>2</v>
      </c>
      <c r="D186" s="95">
        <v>2</v>
      </c>
      <c r="E186" s="96">
        <v>2</v>
      </c>
      <c r="F186" s="95">
        <v>2</v>
      </c>
      <c r="G186" s="95">
        <v>2</v>
      </c>
      <c r="H186" s="95">
        <v>2</v>
      </c>
      <c r="I186" s="96">
        <v>2</v>
      </c>
      <c r="J186" s="95">
        <v>2</v>
      </c>
      <c r="K186" s="95">
        <v>2</v>
      </c>
      <c r="L186" s="95">
        <v>2</v>
      </c>
      <c r="M186" s="96">
        <v>2</v>
      </c>
      <c r="N186" s="95">
        <v>2</v>
      </c>
      <c r="O186" s="95">
        <v>2</v>
      </c>
      <c r="P186" s="95">
        <v>2</v>
      </c>
      <c r="Q186" s="96">
        <v>2</v>
      </c>
      <c r="R186" s="96">
        <v>2</v>
      </c>
    </row>
    <row r="187" spans="1:18">
      <c r="A187" s="95" t="s">
        <v>131</v>
      </c>
      <c r="B187" s="95">
        <v>0.02</v>
      </c>
      <c r="C187" s="95">
        <v>0.02</v>
      </c>
      <c r="D187" s="95">
        <v>0.02</v>
      </c>
      <c r="E187" s="96">
        <v>0</v>
      </c>
      <c r="F187" s="95">
        <v>0.02</v>
      </c>
      <c r="G187" s="95">
        <v>0.03</v>
      </c>
      <c r="H187" s="95">
        <v>0.03</v>
      </c>
      <c r="I187" s="96">
        <v>0</v>
      </c>
      <c r="J187" s="95">
        <v>0.04</v>
      </c>
      <c r="K187" s="95">
        <v>0.04</v>
      </c>
      <c r="L187" s="95">
        <v>0.02</v>
      </c>
      <c r="M187" s="96">
        <v>0</v>
      </c>
      <c r="N187" s="95">
        <v>0.02</v>
      </c>
      <c r="O187" s="95">
        <v>0.01</v>
      </c>
      <c r="P187" s="95">
        <v>0.03</v>
      </c>
      <c r="Q187" s="96">
        <v>0</v>
      </c>
      <c r="R187" s="96">
        <v>0</v>
      </c>
    </row>
    <row r="188" spans="1:18">
      <c r="A188" s="95" t="s">
        <v>132</v>
      </c>
      <c r="B188" s="95">
        <v>0</v>
      </c>
      <c r="C188" s="95">
        <v>0</v>
      </c>
      <c r="D188" s="95">
        <v>0.08</v>
      </c>
      <c r="E188" s="96">
        <v>0</v>
      </c>
      <c r="F188" s="95">
        <v>0.1</v>
      </c>
      <c r="G188" s="95">
        <v>0.1</v>
      </c>
      <c r="H188" s="95">
        <v>0.1</v>
      </c>
      <c r="I188" s="96">
        <v>0</v>
      </c>
      <c r="J188" s="95">
        <v>0.08</v>
      </c>
      <c r="K188" s="95">
        <v>0</v>
      </c>
      <c r="L188" s="95">
        <v>0.08</v>
      </c>
      <c r="M188" s="96">
        <v>0</v>
      </c>
      <c r="N188" s="95">
        <v>0.08</v>
      </c>
      <c r="O188" s="95">
        <v>0.04</v>
      </c>
      <c r="P188" s="95">
        <v>0</v>
      </c>
      <c r="Q188" s="96">
        <v>0</v>
      </c>
      <c r="R188" s="96">
        <v>0</v>
      </c>
    </row>
    <row r="189" spans="1:18">
      <c r="A189" s="95" t="s">
        <v>133</v>
      </c>
      <c r="B189" s="95">
        <f>(B137*B138*B185)*(1+B188-B187)-(B184*B185)-(B183*B185)</f>
        <v>1903.68</v>
      </c>
      <c r="C189" s="95">
        <f>(C137*C138*C185)*(1+C188-C187)-(C184*C185)-(C183*C185)</f>
        <v>1903.68</v>
      </c>
      <c r="D189" s="95">
        <f>(D137*D138*D185)*(1+D188-D187)-(D184*D185)-(D183*D185)</f>
        <v>2064.96</v>
      </c>
      <c r="E189" s="98">
        <f t="shared" ref="E189:E198" si="42">B189+C189+D189</f>
        <v>5872.32</v>
      </c>
      <c r="F189" s="95">
        <f>(F137*F138*F185)*(1+F188-F187)-(F184*F185)-(F183*F185)</f>
        <v>2105.2800000000002</v>
      </c>
      <c r="G189" s="95">
        <f>(G137*G138*G185)*(1+G188-G187)-(G184*G185)-(G183*G185)</f>
        <v>2085.1200000000003</v>
      </c>
      <c r="H189" s="95">
        <f>(H137*H138*H185)*(1+H188-H187)-(H184*H185)-(H183*H185)</f>
        <v>2085.1200000000003</v>
      </c>
      <c r="I189" s="98">
        <f t="shared" ref="I189:I198" si="43">F189+G189+H189</f>
        <v>6275.52</v>
      </c>
      <c r="J189" s="95">
        <f>(J137*J138*J185)*(1+J188-J187)-(J184*J185)-(J183*J185)</f>
        <v>2024.6399999999999</v>
      </c>
      <c r="K189" s="95">
        <f>(K137*K138*K185)*(1+K188-K187)-(K184*K185)-(K183*K185)</f>
        <v>1863.36</v>
      </c>
      <c r="L189" s="95">
        <f>(L137*L138*L185)*(1+L188-L187)-(L184*L185)-(L183*L185)</f>
        <v>2064.96</v>
      </c>
      <c r="M189" s="98">
        <f t="shared" ref="M189:M198" si="44">J189+K189+L189</f>
        <v>5952.96</v>
      </c>
      <c r="N189" s="95">
        <f>(N137*N138*N185)*(1+N188-N187)-(N184*N185)-(N183*N185)</f>
        <v>2064.96</v>
      </c>
      <c r="O189" s="95">
        <f>(O137*O138*O185)*(1+O188-O187)-(O184*O185)-(O183*O185)</f>
        <v>2004.48</v>
      </c>
      <c r="P189" s="95">
        <f>(P137*P138*P185)*(1+P188-P187)-(P184*P185)-(P183*P185)</f>
        <v>1883.52</v>
      </c>
      <c r="Q189" s="98">
        <f t="shared" ref="Q189:Q198" si="45">N189+O189+P189</f>
        <v>5952.96</v>
      </c>
      <c r="R189" s="98">
        <f t="shared" ref="R189:R198" si="46">E189+I189+M189+Q189</f>
        <v>24053.759999999998</v>
      </c>
    </row>
    <row r="190" spans="1:18">
      <c r="A190" s="95" t="s">
        <v>134</v>
      </c>
      <c r="B190" s="95">
        <f>B27*$Y$5</f>
        <v>1289.8799999999999</v>
      </c>
      <c r="C190" s="95">
        <f>C27*$Y$5</f>
        <v>1150.8</v>
      </c>
      <c r="D190" s="95">
        <f>D27*$Y$5</f>
        <v>1252.2</v>
      </c>
      <c r="E190" s="98">
        <f t="shared" si="42"/>
        <v>3692.88</v>
      </c>
      <c r="F190" s="95">
        <f>F27*$Y$5</f>
        <v>1301.3999999999999</v>
      </c>
      <c r="G190" s="95">
        <f>G27*$Y$5</f>
        <v>1487.34</v>
      </c>
      <c r="H190" s="95">
        <f>H27*$Y$5</f>
        <v>1495.74</v>
      </c>
      <c r="I190" s="98">
        <f t="shared" si="43"/>
        <v>4284.4799999999996</v>
      </c>
      <c r="J190" s="95">
        <f>J27*$Y$5</f>
        <v>1509.6599999999999</v>
      </c>
      <c r="K190" s="95">
        <f>K27*$Y$5</f>
        <v>1446.4199999999998</v>
      </c>
      <c r="L190" s="95">
        <f>L27*$Y$5</f>
        <v>1380.36</v>
      </c>
      <c r="M190" s="98">
        <f t="shared" si="44"/>
        <v>4336.4399999999996</v>
      </c>
      <c r="N190" s="95">
        <f>N27*$Y$5</f>
        <v>1280.82</v>
      </c>
      <c r="O190" s="95">
        <f>O27*$Y$5</f>
        <v>1098.78</v>
      </c>
      <c r="P190" s="95">
        <f>P27*$Y$5</f>
        <v>1074.48</v>
      </c>
      <c r="Q190" s="96">
        <f t="shared" si="45"/>
        <v>3454.08</v>
      </c>
      <c r="R190" s="96">
        <f t="shared" si="46"/>
        <v>15767.88</v>
      </c>
    </row>
    <row r="191" spans="1:18">
      <c r="A191" s="95" t="s">
        <v>135</v>
      </c>
      <c r="B191" s="95">
        <f>B28*$Y$13</f>
        <v>917.28</v>
      </c>
      <c r="C191" s="95">
        <f>C28*$Y$13</f>
        <v>833.4</v>
      </c>
      <c r="D191" s="95">
        <f>D28*$Y$13</f>
        <v>982.43999999999994</v>
      </c>
      <c r="E191" s="98">
        <f t="shared" si="42"/>
        <v>2733.12</v>
      </c>
      <c r="F191" s="95">
        <f>F28*$Y$13</f>
        <v>1041.96</v>
      </c>
      <c r="G191" s="95">
        <f>G28*$Y$13</f>
        <v>1034.1599999999999</v>
      </c>
      <c r="H191" s="95">
        <f>H28*$Y$13</f>
        <v>1118.6399999999999</v>
      </c>
      <c r="I191" s="98">
        <f t="shared" si="43"/>
        <v>3194.7599999999998</v>
      </c>
      <c r="J191" s="95">
        <f>J28*$Y$13</f>
        <v>459.59999999999997</v>
      </c>
      <c r="K191" s="95">
        <f>K28*$Y$13</f>
        <v>976.8</v>
      </c>
      <c r="L191" s="95">
        <f>L28*$Y$13</f>
        <v>1027.32</v>
      </c>
      <c r="M191" s="98">
        <f t="shared" si="44"/>
        <v>2463.7199999999998</v>
      </c>
      <c r="N191" s="95">
        <f>N28*$Y$13</f>
        <v>932.52</v>
      </c>
      <c r="O191" s="95">
        <f>O28*$Y$13</f>
        <v>912.6</v>
      </c>
      <c r="P191" s="95">
        <f>P28*$Y$13</f>
        <v>834.95999999999992</v>
      </c>
      <c r="Q191" s="96">
        <f t="shared" si="45"/>
        <v>2680.08</v>
      </c>
      <c r="R191" s="96">
        <f t="shared" si="46"/>
        <v>11071.679999999998</v>
      </c>
    </row>
    <row r="192" spans="1:18">
      <c r="A192" s="95" t="s">
        <v>136</v>
      </c>
      <c r="B192" s="95">
        <f>B29*$Y$21</f>
        <v>263.88</v>
      </c>
      <c r="C192" s="95">
        <f>C29*$Y$21</f>
        <v>246</v>
      </c>
      <c r="D192" s="95">
        <f>D29*$Y$21</f>
        <v>310.2</v>
      </c>
      <c r="E192" s="98">
        <f t="shared" si="42"/>
        <v>820.07999999999993</v>
      </c>
      <c r="F192" s="95">
        <f>F29*$Y$21</f>
        <v>384.96</v>
      </c>
      <c r="G192" s="95">
        <f>G29*$Y$21</f>
        <v>464.64</v>
      </c>
      <c r="H192" s="95">
        <f>H29*$Y$21</f>
        <v>490.79999999999995</v>
      </c>
      <c r="I192" s="98">
        <f t="shared" si="43"/>
        <v>1340.3999999999999</v>
      </c>
      <c r="J192" s="95">
        <f>J29*$Y$21</f>
        <v>468.9</v>
      </c>
      <c r="K192" s="95">
        <f>K29*$Y$21</f>
        <v>484.5</v>
      </c>
      <c r="L192" s="95">
        <f>L29*$Y$21</f>
        <v>471</v>
      </c>
      <c r="M192" s="98">
        <f t="shared" si="44"/>
        <v>1424.4</v>
      </c>
      <c r="N192" s="95">
        <f>N29*$Y$21</f>
        <v>374.88</v>
      </c>
      <c r="O192" s="95">
        <f>O29*$Y$21</f>
        <v>337.56</v>
      </c>
      <c r="P192" s="95">
        <f>P29*$Y$21</f>
        <v>240.95999999999998</v>
      </c>
      <c r="Q192" s="96">
        <f t="shared" si="45"/>
        <v>953.40000000000009</v>
      </c>
      <c r="R192" s="96">
        <f t="shared" si="46"/>
        <v>4538.28</v>
      </c>
    </row>
    <row r="193" spans="1:18">
      <c r="A193" s="95" t="s">
        <v>137</v>
      </c>
      <c r="B193" s="95">
        <f>B30*$Y$30</f>
        <v>80.64</v>
      </c>
      <c r="C193" s="95">
        <f>C30*$Y$30</f>
        <v>77.64</v>
      </c>
      <c r="D193" s="95">
        <f>D30*$Y$30</f>
        <v>95.28</v>
      </c>
      <c r="E193" s="98">
        <f t="shared" si="42"/>
        <v>253.56</v>
      </c>
      <c r="F193" s="95">
        <f>F30*$Y$30</f>
        <v>122.328</v>
      </c>
      <c r="G193" s="95">
        <f>G30*$Y$30</f>
        <v>171.07199999999997</v>
      </c>
      <c r="H193" s="95">
        <f>H30*$Y$30</f>
        <v>156.96</v>
      </c>
      <c r="I193" s="98">
        <f t="shared" si="43"/>
        <v>450.36</v>
      </c>
      <c r="J193" s="95">
        <f>J30*$Y$30</f>
        <v>74.759999999999991</v>
      </c>
      <c r="K193" s="95">
        <f>K30*$Y$30</f>
        <v>76.08</v>
      </c>
      <c r="L193" s="95">
        <f>L30*$Y$30</f>
        <v>67.2</v>
      </c>
      <c r="M193" s="98">
        <f t="shared" si="44"/>
        <v>218.03999999999996</v>
      </c>
      <c r="N193" s="95">
        <f>N30*$Y$30</f>
        <v>59.519999999999996</v>
      </c>
      <c r="O193" s="95">
        <f>O30*$Y$30</f>
        <v>52.68</v>
      </c>
      <c r="P193" s="95">
        <f>P30*$Y$30</f>
        <v>58.919999999999995</v>
      </c>
      <c r="Q193" s="96">
        <f t="shared" si="45"/>
        <v>171.11999999999998</v>
      </c>
      <c r="R193" s="96">
        <f t="shared" si="46"/>
        <v>1093.08</v>
      </c>
    </row>
    <row r="194" spans="1:18">
      <c r="A194" s="95" t="s">
        <v>138</v>
      </c>
      <c r="B194" s="95">
        <f>SUM(B190:B193)</f>
        <v>2551.6799999999998</v>
      </c>
      <c r="C194" s="95">
        <f>SUM(C190:C193)</f>
        <v>2307.8399999999997</v>
      </c>
      <c r="D194" s="98">
        <f>SUM(D190:D193)</f>
        <v>2640.12</v>
      </c>
      <c r="E194" s="98">
        <f t="shared" si="42"/>
        <v>7499.6399999999994</v>
      </c>
      <c r="F194" s="95">
        <f>SUM(F190:F193)</f>
        <v>2850.6479999999997</v>
      </c>
      <c r="G194" s="95">
        <f>SUM(G190:G193)</f>
        <v>3157.212</v>
      </c>
      <c r="H194" s="95">
        <f>SUM(H190:H193)</f>
        <v>3262.1400000000003</v>
      </c>
      <c r="I194" s="98">
        <f t="shared" si="43"/>
        <v>9270</v>
      </c>
      <c r="J194" s="95">
        <f>SUM(J190:J193)</f>
        <v>2512.92</v>
      </c>
      <c r="K194" s="95">
        <f>SUM(K190:K193)</f>
        <v>2983.7999999999997</v>
      </c>
      <c r="L194" s="95">
        <f>SUM(L190:L193)</f>
        <v>2945.8799999999997</v>
      </c>
      <c r="M194" s="98">
        <f t="shared" si="44"/>
        <v>8442.5999999999985</v>
      </c>
      <c r="N194" s="95">
        <f>SUM(N190:N193)</f>
        <v>2647.7400000000002</v>
      </c>
      <c r="O194" s="95">
        <f>SUM(O190:O193)</f>
        <v>2401.62</v>
      </c>
      <c r="P194" s="95">
        <f>SUM(P190:P193)</f>
        <v>2209.3200000000002</v>
      </c>
      <c r="Q194" s="96">
        <f t="shared" si="45"/>
        <v>7258.68</v>
      </c>
      <c r="R194" s="96">
        <f t="shared" si="46"/>
        <v>32470.92</v>
      </c>
    </row>
    <row r="195" spans="1:18">
      <c r="A195" s="95" t="s">
        <v>139</v>
      </c>
      <c r="B195" s="95">
        <f>B194-B189</f>
        <v>647.99999999999977</v>
      </c>
      <c r="C195" s="95">
        <f>C194-C189</f>
        <v>404.15999999999963</v>
      </c>
      <c r="D195" s="95">
        <f>D194-D189</f>
        <v>575.15999999999985</v>
      </c>
      <c r="E195" s="98">
        <f t="shared" si="42"/>
        <v>1627.3199999999993</v>
      </c>
      <c r="F195" s="95">
        <f>F194-F189</f>
        <v>745.36799999999948</v>
      </c>
      <c r="G195" s="95">
        <f>G194-G189</f>
        <v>1072.0919999999996</v>
      </c>
      <c r="H195" s="95">
        <f>H194-H189</f>
        <v>1177.02</v>
      </c>
      <c r="I195" s="98">
        <f t="shared" si="43"/>
        <v>2994.4799999999991</v>
      </c>
      <c r="J195" s="95">
        <f>J194-J189</f>
        <v>488.2800000000002</v>
      </c>
      <c r="K195" s="95">
        <f>K194-K189</f>
        <v>1120.4399999999998</v>
      </c>
      <c r="L195" s="95">
        <f>L194-L189</f>
        <v>880.91999999999962</v>
      </c>
      <c r="M195" s="98">
        <f t="shared" si="44"/>
        <v>2489.6399999999994</v>
      </c>
      <c r="N195" s="95">
        <f>N194-N189</f>
        <v>582.7800000000002</v>
      </c>
      <c r="O195" s="95">
        <f>O194-O189</f>
        <v>397.13999999999987</v>
      </c>
      <c r="P195" s="95">
        <f>P194-P189</f>
        <v>325.80000000000018</v>
      </c>
      <c r="Q195" s="96">
        <f t="shared" si="45"/>
        <v>1305.7200000000003</v>
      </c>
      <c r="R195" s="96">
        <f t="shared" si="46"/>
        <v>8417.159999999998</v>
      </c>
    </row>
    <row r="196" spans="1:18">
      <c r="A196" s="140" t="s">
        <v>145</v>
      </c>
      <c r="B196" s="95">
        <f>SUM(B152+B166+B180+B194)</f>
        <v>14108.880000000001</v>
      </c>
      <c r="C196" s="95">
        <f>SUM(C152+C166+C180+C194)</f>
        <v>12755.349999999999</v>
      </c>
      <c r="D196" s="95">
        <f>SUM(D152+D166+D180+D194)</f>
        <v>14560.470000000001</v>
      </c>
      <c r="E196" s="98">
        <f t="shared" si="42"/>
        <v>41424.699999999997</v>
      </c>
      <c r="F196" s="95">
        <f>SUM(F152+F166+F180+F194)</f>
        <v>15718.99</v>
      </c>
      <c r="G196" s="95">
        <f>SUM(G152+G166+G180+G194)</f>
        <v>17486.57</v>
      </c>
      <c r="H196" s="95">
        <f>SUM(H152+H166+H180+H194)</f>
        <v>18026.57</v>
      </c>
      <c r="I196" s="98">
        <f t="shared" si="43"/>
        <v>51232.13</v>
      </c>
      <c r="J196" s="95">
        <f>SUM(J152+J166+J180+J194)</f>
        <v>14157.7</v>
      </c>
      <c r="K196" s="95">
        <f>SUM(K152+K166+K180+K194)</f>
        <v>16511.400000000001</v>
      </c>
      <c r="L196" s="95">
        <f>SUM(L152+L166+L180+L194)</f>
        <v>16256.81</v>
      </c>
      <c r="M196" s="98">
        <f t="shared" si="44"/>
        <v>46925.91</v>
      </c>
      <c r="N196" s="95">
        <f>SUM(N152+N166+N180+N194)</f>
        <v>14620.8</v>
      </c>
      <c r="O196" s="95">
        <f>SUM(O152+O166+O180+O194)</f>
        <v>13212.48</v>
      </c>
      <c r="P196" s="95">
        <f>SUM(P152+P166+P180+P194)</f>
        <v>12181.16</v>
      </c>
      <c r="Q196" s="96">
        <f t="shared" si="45"/>
        <v>40014.44</v>
      </c>
      <c r="R196" s="96">
        <f t="shared" si="46"/>
        <v>179597.18</v>
      </c>
    </row>
    <row r="197" spans="1:18">
      <c r="A197" s="140" t="s">
        <v>146</v>
      </c>
      <c r="B197" s="95">
        <f>SUM(B147+B161+B175+B189)</f>
        <v>9698.48</v>
      </c>
      <c r="C197" s="95">
        <f>SUM(C147+C161+C175+C189)</f>
        <v>9616.16</v>
      </c>
      <c r="D197" s="95">
        <f>SUM(D147+D161+D175+D189)</f>
        <v>10624.16</v>
      </c>
      <c r="E197" s="98">
        <f t="shared" si="42"/>
        <v>29938.799999999999</v>
      </c>
      <c r="F197" s="95">
        <f>SUM(F147+F161+F175+F189)</f>
        <v>10829.120000000003</v>
      </c>
      <c r="G197" s="95">
        <f>SUM(G147+G161+G175+G189)</f>
        <v>10753.52</v>
      </c>
      <c r="H197" s="95">
        <f>SUM(H147+H161+H175+H189)</f>
        <v>10726.640000000001</v>
      </c>
      <c r="I197" s="98">
        <f t="shared" si="43"/>
        <v>32309.280000000006</v>
      </c>
      <c r="J197" s="95">
        <f>SUM(J147+J161+J175+J189)</f>
        <v>10254.56</v>
      </c>
      <c r="K197" s="95">
        <f>SUM(K147+K161+K175+K189)</f>
        <v>9397.76</v>
      </c>
      <c r="L197" s="95">
        <f>SUM(L147+L161+L175+L189)</f>
        <v>10624.16</v>
      </c>
      <c r="M197" s="98">
        <f t="shared" si="44"/>
        <v>30276.48</v>
      </c>
      <c r="N197" s="95">
        <f>SUM(N147+N161+N175+N189)</f>
        <v>10459.52</v>
      </c>
      <c r="O197" s="95">
        <f>SUM(O147+O161+O175+O189)</f>
        <v>10210.880000000001</v>
      </c>
      <c r="P197" s="95">
        <f>SUM(P147+P161+P175+P189)</f>
        <v>9500.24</v>
      </c>
      <c r="Q197" s="96">
        <f t="shared" si="45"/>
        <v>30170.639999999999</v>
      </c>
      <c r="R197" s="96">
        <f t="shared" si="46"/>
        <v>122695.2</v>
      </c>
    </row>
    <row r="198" spans="1:18">
      <c r="A198" s="140" t="s">
        <v>147</v>
      </c>
      <c r="B198" s="95">
        <f>SUM(B196:B197)</f>
        <v>23807.360000000001</v>
      </c>
      <c r="C198" s="95">
        <f>SUM(C196:C197)</f>
        <v>22371.51</v>
      </c>
      <c r="D198" s="95">
        <f>SUM(D196:D197)</f>
        <v>25184.63</v>
      </c>
      <c r="E198" s="98">
        <f t="shared" si="42"/>
        <v>71363.5</v>
      </c>
      <c r="F198" s="95">
        <f>SUM(F196:F197)</f>
        <v>26548.11</v>
      </c>
      <c r="G198" s="95">
        <f>SUM(G196:G197)</f>
        <v>28240.09</v>
      </c>
      <c r="H198" s="95">
        <f>SUM(H196:H197)</f>
        <v>28753.21</v>
      </c>
      <c r="I198" s="98">
        <f t="shared" si="43"/>
        <v>83541.41</v>
      </c>
      <c r="J198" s="95">
        <f>SUM(J196:J197)</f>
        <v>24412.260000000002</v>
      </c>
      <c r="K198" s="95">
        <f>SUM(K196:K197)</f>
        <v>25909.160000000003</v>
      </c>
      <c r="L198" s="95">
        <f>SUM(L196:L197)</f>
        <v>26880.97</v>
      </c>
      <c r="M198" s="98">
        <f t="shared" si="44"/>
        <v>77202.390000000014</v>
      </c>
      <c r="N198" s="95">
        <f>SUM(N196:N197)</f>
        <v>25080.32</v>
      </c>
      <c r="O198" s="95">
        <f>SUM(O196:O197)</f>
        <v>23423.360000000001</v>
      </c>
      <c r="P198" s="95">
        <f>SUM(P196:P197)</f>
        <v>21681.4</v>
      </c>
      <c r="Q198" s="96">
        <f t="shared" si="45"/>
        <v>70185.08</v>
      </c>
      <c r="R198" s="96">
        <f t="shared" si="46"/>
        <v>302292.38</v>
      </c>
    </row>
    <row r="203" spans="1:18">
      <c r="A203" s="220" t="s">
        <v>148</v>
      </c>
      <c r="B203" s="220"/>
      <c r="C203" s="220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</row>
    <row r="204" spans="1:18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</row>
    <row r="205" spans="1:18">
      <c r="A205" s="86"/>
      <c r="B205" s="102" t="s">
        <v>4</v>
      </c>
      <c r="C205" s="102" t="s">
        <v>5</v>
      </c>
      <c r="D205" s="102" t="s">
        <v>6</v>
      </c>
      <c r="E205" s="102" t="s">
        <v>7</v>
      </c>
      <c r="F205" s="102" t="s">
        <v>8</v>
      </c>
      <c r="G205" s="102" t="s">
        <v>9</v>
      </c>
      <c r="H205" s="102" t="s">
        <v>10</v>
      </c>
      <c r="I205" s="102" t="s">
        <v>11</v>
      </c>
      <c r="J205" s="102" t="s">
        <v>12</v>
      </c>
      <c r="K205" s="102" t="s">
        <v>67</v>
      </c>
      <c r="L205" s="102" t="s">
        <v>68</v>
      </c>
      <c r="M205" s="102" t="s">
        <v>15</v>
      </c>
      <c r="N205" s="102" t="s">
        <v>16</v>
      </c>
      <c r="O205" s="102" t="s">
        <v>17</v>
      </c>
      <c r="P205" s="102" t="s">
        <v>18</v>
      </c>
      <c r="Q205" s="102" t="s">
        <v>69</v>
      </c>
      <c r="R205" s="102" t="s">
        <v>44</v>
      </c>
    </row>
    <row r="206" spans="1:18">
      <c r="A206" s="86" t="s">
        <v>149</v>
      </c>
      <c r="B206" s="86">
        <v>16</v>
      </c>
      <c r="C206" s="86">
        <v>16</v>
      </c>
      <c r="D206" s="86">
        <v>16</v>
      </c>
      <c r="E206" s="86">
        <f>B206+C206+D206</f>
        <v>48</v>
      </c>
      <c r="F206" s="86">
        <v>16</v>
      </c>
      <c r="G206" s="86">
        <v>16</v>
      </c>
      <c r="H206" s="86">
        <v>16</v>
      </c>
      <c r="I206" s="86">
        <f>SUM(F206:H206)</f>
        <v>48</v>
      </c>
      <c r="J206" s="86">
        <v>16</v>
      </c>
      <c r="K206" s="86">
        <v>16</v>
      </c>
      <c r="L206" s="86">
        <v>16</v>
      </c>
      <c r="M206" s="86">
        <f>J206+K206+L206</f>
        <v>48</v>
      </c>
      <c r="N206" s="86">
        <v>16</v>
      </c>
      <c r="O206" s="86">
        <v>16</v>
      </c>
      <c r="P206" s="86">
        <v>16</v>
      </c>
      <c r="Q206" s="86">
        <f>N206+O206+P206</f>
        <v>48</v>
      </c>
      <c r="R206" s="86">
        <f>Q206+M206+I206+E206</f>
        <v>192</v>
      </c>
    </row>
    <row r="212" spans="1:18">
      <c r="A212" s="106" t="s">
        <v>150</v>
      </c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</row>
    <row r="213" spans="1:18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</row>
    <row r="214" spans="1:18">
      <c r="A214" s="110" t="s">
        <v>3</v>
      </c>
      <c r="B214" s="102" t="s">
        <v>4</v>
      </c>
      <c r="C214" s="102" t="s">
        <v>5</v>
      </c>
      <c r="D214" s="102" t="s">
        <v>6</v>
      </c>
      <c r="E214" s="102" t="s">
        <v>7</v>
      </c>
      <c r="F214" s="102" t="s">
        <v>8</v>
      </c>
      <c r="G214" s="102" t="s">
        <v>9</v>
      </c>
      <c r="H214" s="102" t="s">
        <v>10</v>
      </c>
      <c r="I214" s="102" t="s">
        <v>11</v>
      </c>
      <c r="J214" s="102" t="s">
        <v>12</v>
      </c>
      <c r="K214" s="102" t="s">
        <v>67</v>
      </c>
      <c r="L214" s="102" t="s">
        <v>68</v>
      </c>
      <c r="M214" s="102" t="s">
        <v>15</v>
      </c>
      <c r="N214" s="102" t="s">
        <v>16</v>
      </c>
      <c r="O214" s="102" t="s">
        <v>17</v>
      </c>
      <c r="P214" s="102" t="s">
        <v>18</v>
      </c>
      <c r="Q214" s="102" t="s">
        <v>69</v>
      </c>
      <c r="R214" s="102" t="s">
        <v>44</v>
      </c>
    </row>
    <row r="215" spans="1:18">
      <c r="A215" s="141" t="s">
        <v>125</v>
      </c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</row>
    <row r="216" spans="1:18">
      <c r="A216" s="95" t="s">
        <v>134</v>
      </c>
      <c r="B216" s="94">
        <f>B148*B206</f>
        <v>13758.720000000001</v>
      </c>
      <c r="C216" s="94">
        <f>C148*C206</f>
        <v>12275.2</v>
      </c>
      <c r="D216" s="94">
        <f>D148*D206</f>
        <v>13356.800000000001</v>
      </c>
      <c r="E216" s="86">
        <f>B216+C216+D216</f>
        <v>39390.720000000001</v>
      </c>
      <c r="F216" s="94">
        <f>F148*F206</f>
        <v>13881.6</v>
      </c>
      <c r="G216" s="94">
        <f>G148*G206</f>
        <v>15864.960000000001</v>
      </c>
      <c r="H216" s="94">
        <f>H148*H206</f>
        <v>15954.56</v>
      </c>
      <c r="I216" s="86">
        <f>F216+G216+H216</f>
        <v>45701.120000000003</v>
      </c>
      <c r="J216" s="94">
        <f>J148*J206</f>
        <v>16103.04</v>
      </c>
      <c r="K216" s="94">
        <f>K148*K206</f>
        <v>15428.48</v>
      </c>
      <c r="L216" s="94">
        <f>L148*L206</f>
        <v>14723.84</v>
      </c>
      <c r="M216" s="86">
        <f>J216+K216+L216</f>
        <v>46255.360000000001</v>
      </c>
      <c r="N216" s="94">
        <f>N148*N206</f>
        <v>13662.08</v>
      </c>
      <c r="O216" s="94">
        <f>O148*O206</f>
        <v>11720.32</v>
      </c>
      <c r="P216" s="94">
        <f>P148*P206</f>
        <v>11461.12</v>
      </c>
      <c r="Q216" s="86">
        <f>SUM(N216:P216)</f>
        <v>36843.520000000004</v>
      </c>
      <c r="R216" s="86">
        <f>Q216+I216+M216+E216</f>
        <v>168190.72000000003</v>
      </c>
    </row>
    <row r="217" spans="1:18">
      <c r="A217" s="95" t="s">
        <v>135</v>
      </c>
      <c r="B217" s="94">
        <f>B149*B206</f>
        <v>9784.32</v>
      </c>
      <c r="C217" s="94">
        <f>C149*C206</f>
        <v>8889.6</v>
      </c>
      <c r="D217" s="94">
        <f>D149*D206</f>
        <v>10479.36</v>
      </c>
      <c r="E217" s="86">
        <f>B217+C217+D217</f>
        <v>29153.279999999999</v>
      </c>
      <c r="F217" s="94">
        <f>F149*F206</f>
        <v>11114.24</v>
      </c>
      <c r="G217" s="94">
        <f>G149*G206</f>
        <v>11031.04</v>
      </c>
      <c r="H217" s="94">
        <f>H149*H206</f>
        <v>11932.16</v>
      </c>
      <c r="I217" s="86">
        <f>F217+G217+H217</f>
        <v>34077.440000000002</v>
      </c>
      <c r="J217" s="94">
        <f>J149*J206</f>
        <v>4902.4000000000005</v>
      </c>
      <c r="K217" s="94">
        <f>K149*K206</f>
        <v>10419.200000000001</v>
      </c>
      <c r="L217" s="94">
        <f>L149*L206</f>
        <v>10958.08</v>
      </c>
      <c r="M217" s="86">
        <f>J217+K217+L217</f>
        <v>26279.68</v>
      </c>
      <c r="N217" s="94">
        <f>N149*N206</f>
        <v>9946.880000000001</v>
      </c>
      <c r="O217" s="94">
        <f>O149*O206</f>
        <v>9734.4</v>
      </c>
      <c r="P217" s="94">
        <f>P149*P206</f>
        <v>8906.24</v>
      </c>
      <c r="Q217" s="86">
        <f>SUM(N217:P217)</f>
        <v>28587.519999999997</v>
      </c>
      <c r="R217" s="86">
        <f>Q217+M217+I217+E217</f>
        <v>118097.92</v>
      </c>
    </row>
    <row r="218" spans="1:18">
      <c r="A218" s="95" t="s">
        <v>136</v>
      </c>
      <c r="B218" s="94">
        <f>B150*B206</f>
        <v>2814.7200000000003</v>
      </c>
      <c r="C218" s="94">
        <f>C150*C206</f>
        <v>2624</v>
      </c>
      <c r="D218" s="94">
        <f>D150*D206</f>
        <v>3308.8</v>
      </c>
      <c r="E218" s="86">
        <f>B218+C218+D218</f>
        <v>8747.52</v>
      </c>
      <c r="F218" s="94">
        <f>F150*F206</f>
        <v>4106.24</v>
      </c>
      <c r="G218" s="94">
        <f>G150*G206</f>
        <v>4956.16</v>
      </c>
      <c r="H218" s="94">
        <f>H150*H206</f>
        <v>5235.2</v>
      </c>
      <c r="I218" s="86">
        <f>F218+G218+H218</f>
        <v>14297.599999999999</v>
      </c>
      <c r="J218" s="94">
        <f>J150*J206</f>
        <v>5001.6000000000004</v>
      </c>
      <c r="K218" s="94">
        <f>K150*K206</f>
        <v>5168</v>
      </c>
      <c r="L218" s="94">
        <f>L150*L206</f>
        <v>5024</v>
      </c>
      <c r="M218" s="86">
        <f>J218+K218+L218</f>
        <v>15193.6</v>
      </c>
      <c r="N218" s="94">
        <f>N150*N206</f>
        <v>3998.7200000000003</v>
      </c>
      <c r="O218" s="94">
        <f>O150*O206</f>
        <v>3600.64</v>
      </c>
      <c r="P218" s="94">
        <f>P150*P206</f>
        <v>2570.2400000000002</v>
      </c>
      <c r="Q218" s="86">
        <f>SUM(N218:P218)</f>
        <v>10169.6</v>
      </c>
      <c r="R218" s="86">
        <f>Q218+M218+I218+E218</f>
        <v>48408.320000000007</v>
      </c>
    </row>
    <row r="219" spans="1:18">
      <c r="A219" s="95" t="s">
        <v>137</v>
      </c>
      <c r="B219" s="94">
        <f>B151*B206</f>
        <v>860.16</v>
      </c>
      <c r="C219" s="94">
        <f>C151*C206</f>
        <v>828.16</v>
      </c>
      <c r="D219" s="94">
        <f>D151*D206</f>
        <v>1016.32</v>
      </c>
      <c r="E219" s="86">
        <f>B219+C219+D219</f>
        <v>2704.64</v>
      </c>
      <c r="F219" s="94">
        <f>F151*F206</f>
        <v>1304.8320000000001</v>
      </c>
      <c r="G219" s="94">
        <f>G151*G206</f>
        <v>1824.768</v>
      </c>
      <c r="H219" s="94">
        <f>H151*H206</f>
        <v>1674.24</v>
      </c>
      <c r="I219" s="86">
        <f>F219+G219+H219</f>
        <v>4803.84</v>
      </c>
      <c r="J219" s="94">
        <f>J151*J206</f>
        <v>797.44</v>
      </c>
      <c r="K219" s="94">
        <f>K151*K206</f>
        <v>811.52</v>
      </c>
      <c r="L219" s="94">
        <f>L151*L206</f>
        <v>716.80000000000007</v>
      </c>
      <c r="M219" s="86">
        <f>J219+K219+L219</f>
        <v>2325.7600000000002</v>
      </c>
      <c r="N219" s="94">
        <f>N151*N206</f>
        <v>634.88</v>
      </c>
      <c r="O219" s="94">
        <f>O151*O206</f>
        <v>561.91999999999996</v>
      </c>
      <c r="P219" s="94">
        <f>P151*P206</f>
        <v>628.48</v>
      </c>
      <c r="Q219" s="86">
        <f>SUM(N219:P219)</f>
        <v>1825.28</v>
      </c>
      <c r="R219" s="86">
        <f>Q219+M219+I219+E219</f>
        <v>11659.52</v>
      </c>
    </row>
    <row r="220" spans="1:18">
      <c r="A220" s="86" t="s">
        <v>20</v>
      </c>
      <c r="B220" s="94">
        <f>SUM(B216:B219)</f>
        <v>27217.920000000002</v>
      </c>
      <c r="C220" s="94">
        <f>C216+C217+C218+C219</f>
        <v>24616.960000000003</v>
      </c>
      <c r="D220" s="94">
        <f>SUM(D216:D219)</f>
        <v>28161.280000000002</v>
      </c>
      <c r="E220" s="86">
        <f>B220+C220+D220</f>
        <v>79996.160000000003</v>
      </c>
      <c r="F220" s="94">
        <f>SUM(F216:F219)</f>
        <v>30406.912</v>
      </c>
      <c r="G220" s="94">
        <f>SUM(G216:G219)</f>
        <v>33676.928</v>
      </c>
      <c r="H220" s="94">
        <f>SUM(H216:H219)</f>
        <v>34796.159999999996</v>
      </c>
      <c r="I220" s="86">
        <f>F220+G220+H220</f>
        <v>98880</v>
      </c>
      <c r="J220" s="94">
        <f>SUM(J216:J219)</f>
        <v>26804.48</v>
      </c>
      <c r="K220" s="94">
        <f>SUM(K216:K219)</f>
        <v>31827.200000000001</v>
      </c>
      <c r="L220" s="94">
        <f>SUM(L216:L219)</f>
        <v>31422.719999999998</v>
      </c>
      <c r="M220" s="86">
        <f>J220+K220+L220</f>
        <v>90054.399999999994</v>
      </c>
      <c r="N220" s="94">
        <f>SUM(N216:N219)</f>
        <v>28242.560000000001</v>
      </c>
      <c r="O220" s="94">
        <f>SUM(O216:O219)</f>
        <v>25617.279999999999</v>
      </c>
      <c r="P220" s="94">
        <f>SUM(P216:P219)</f>
        <v>23566.080000000002</v>
      </c>
      <c r="Q220" s="86">
        <f>SUM(Q216:Q219)</f>
        <v>77425.919999999998</v>
      </c>
      <c r="R220" s="86">
        <f>SUM(R216:R219)</f>
        <v>346356.48000000004</v>
      </c>
    </row>
    <row r="221" spans="1:18">
      <c r="A221" s="141" t="s">
        <v>140</v>
      </c>
      <c r="B221" s="94"/>
      <c r="C221" s="94"/>
      <c r="D221" s="94"/>
      <c r="E221" s="86"/>
      <c r="F221" s="94"/>
      <c r="G221" s="94"/>
      <c r="H221" s="94"/>
      <c r="I221" s="86"/>
      <c r="J221" s="94"/>
      <c r="K221" s="94"/>
      <c r="L221" s="94"/>
      <c r="M221" s="86"/>
      <c r="N221" s="94"/>
      <c r="O221" s="94"/>
      <c r="P221" s="94"/>
      <c r="Q221" s="86"/>
      <c r="R221" s="86"/>
    </row>
    <row r="222" spans="1:18">
      <c r="A222" s="95" t="s">
        <v>134</v>
      </c>
      <c r="B222" s="94">
        <f>B162*B206</f>
        <v>72233.279999999999</v>
      </c>
      <c r="C222" s="94">
        <f>C162*C206</f>
        <v>64444.799999999996</v>
      </c>
      <c r="D222" s="94">
        <f>D162*D206</f>
        <v>70123.199999999997</v>
      </c>
      <c r="E222" s="86">
        <f>D222+C222+B222</f>
        <v>206801.28</v>
      </c>
      <c r="F222" s="94">
        <f>F162*F206</f>
        <v>72878.399999999994</v>
      </c>
      <c r="G222" s="94">
        <f>G162*G206</f>
        <v>83291.039999999994</v>
      </c>
      <c r="H222" s="94">
        <f>H162*H206</f>
        <v>83761.440000000002</v>
      </c>
      <c r="I222" s="86">
        <f>H222+G222+F222</f>
        <v>239930.87999999998</v>
      </c>
      <c r="J222" s="94">
        <f>J162*J206</f>
        <v>84540.959999999992</v>
      </c>
      <c r="K222" s="94">
        <f>K162*K206</f>
        <v>80999.520000000004</v>
      </c>
      <c r="L222" s="94">
        <f>L162*L206</f>
        <v>77300.160000000003</v>
      </c>
      <c r="M222" s="86">
        <f>L222+K222+J222</f>
        <v>242840.63999999998</v>
      </c>
      <c r="N222" s="94">
        <f>N162*N206</f>
        <v>71725.919999999998</v>
      </c>
      <c r="O222" s="94">
        <f>O162*O206</f>
        <v>61531.68</v>
      </c>
      <c r="P222" s="94">
        <f>P162*P206</f>
        <v>60170.879999999997</v>
      </c>
      <c r="Q222" s="86">
        <f>P222+O222+N222</f>
        <v>193428.47999999998</v>
      </c>
      <c r="R222" s="86">
        <f>Q222+M222+I222+E222</f>
        <v>883001.28</v>
      </c>
    </row>
    <row r="223" spans="1:18">
      <c r="A223" s="95" t="s">
        <v>135</v>
      </c>
      <c r="B223" s="94">
        <f>B163*B206</f>
        <v>40360.32</v>
      </c>
      <c r="C223" s="94">
        <f>C163*C206</f>
        <v>36669.599999999999</v>
      </c>
      <c r="D223" s="94">
        <f>D163*D206</f>
        <v>43227.360000000001</v>
      </c>
      <c r="E223" s="86">
        <f>D223+C223+B223</f>
        <v>120257.28</v>
      </c>
      <c r="F223" s="94">
        <f>F163*F206</f>
        <v>45846.240000000005</v>
      </c>
      <c r="G223" s="94">
        <f>G163*G206</f>
        <v>45503.040000000001</v>
      </c>
      <c r="H223" s="94">
        <f>H163*H206</f>
        <v>49220.160000000003</v>
      </c>
      <c r="I223" s="86">
        <f>H223+G223+F223</f>
        <v>140569.44</v>
      </c>
      <c r="J223" s="94">
        <f>J163*J206</f>
        <v>20222.400000000001</v>
      </c>
      <c r="K223" s="94">
        <f>K163*K206</f>
        <v>42979.200000000004</v>
      </c>
      <c r="L223" s="94">
        <f>L163*L206</f>
        <v>45202.080000000002</v>
      </c>
      <c r="M223" s="86">
        <f>L223+K223+J223</f>
        <v>108403.68</v>
      </c>
      <c r="N223" s="94">
        <f>N163*N206</f>
        <v>41030.880000000005</v>
      </c>
      <c r="O223" s="94">
        <f>O163*O206</f>
        <v>40154.400000000001</v>
      </c>
      <c r="P223" s="94">
        <f>P163*P206</f>
        <v>36738.240000000005</v>
      </c>
      <c r="Q223" s="86">
        <f>P223+O223+N223</f>
        <v>117923.52000000002</v>
      </c>
      <c r="R223" s="86">
        <f>Q223+M223+I223+E223</f>
        <v>487153.92000000004</v>
      </c>
    </row>
    <row r="224" spans="1:18">
      <c r="A224" s="95" t="s">
        <v>136</v>
      </c>
      <c r="B224" s="94">
        <f>B164*B206</f>
        <v>14425.439999999999</v>
      </c>
      <c r="C224" s="94">
        <f>C164*C206</f>
        <v>13448</v>
      </c>
      <c r="D224" s="94">
        <f>D164*D206</f>
        <v>16957.599999999999</v>
      </c>
      <c r="E224" s="86">
        <f>D224+C224+B224</f>
        <v>44831.039999999994</v>
      </c>
      <c r="F224" s="94">
        <f>F164*F206</f>
        <v>21044.48</v>
      </c>
      <c r="G224" s="94">
        <f>G164*G206</f>
        <v>25400.32</v>
      </c>
      <c r="H224" s="94">
        <f>H164*H206</f>
        <v>26830.399999999998</v>
      </c>
      <c r="I224" s="86">
        <f>H224+G224+F224</f>
        <v>73275.199999999997</v>
      </c>
      <c r="J224" s="94">
        <f>J164*J206</f>
        <v>25633.199999999997</v>
      </c>
      <c r="K224" s="94">
        <f>K164*K206</f>
        <v>26486</v>
      </c>
      <c r="L224" s="94">
        <f>L164*L206</f>
        <v>25748</v>
      </c>
      <c r="M224" s="86">
        <f>L224+K224+J224</f>
        <v>77867.199999999997</v>
      </c>
      <c r="N224" s="94">
        <f>N164*N206</f>
        <v>20493.439999999999</v>
      </c>
      <c r="O224" s="94">
        <f>O164*O206</f>
        <v>18453.28</v>
      </c>
      <c r="P224" s="94">
        <f>P164*P206</f>
        <v>13172.48</v>
      </c>
      <c r="Q224" s="86">
        <f>P224+O224+N224</f>
        <v>52119.199999999997</v>
      </c>
      <c r="R224" s="86">
        <f>Q224+M224+I224+E224</f>
        <v>248092.63999999996</v>
      </c>
    </row>
    <row r="225" spans="1:18">
      <c r="A225" s="95" t="s">
        <v>137</v>
      </c>
      <c r="B225" s="94">
        <f>B165*B206</f>
        <v>4515.84</v>
      </c>
      <c r="C225" s="94">
        <f>C165*C206</f>
        <v>4347.84</v>
      </c>
      <c r="D225" s="94">
        <f>D165*D206</f>
        <v>5335.6799999999994</v>
      </c>
      <c r="E225" s="86">
        <f>D225+C225+B225</f>
        <v>14199.36</v>
      </c>
      <c r="F225" s="94">
        <f>F165*F206</f>
        <v>6850.3680000000004</v>
      </c>
      <c r="G225" s="94">
        <f>G165*G206</f>
        <v>9580.0319999999992</v>
      </c>
      <c r="H225" s="94">
        <f>H165*H206</f>
        <v>8789.76</v>
      </c>
      <c r="I225" s="86">
        <f>H225+G225+F225</f>
        <v>25220.160000000003</v>
      </c>
      <c r="J225" s="94">
        <f>J165*J206</f>
        <v>4186.5599999999995</v>
      </c>
      <c r="K225" s="94">
        <f>K165*K206</f>
        <v>4260.4799999999996</v>
      </c>
      <c r="L225" s="94">
        <f>L165*L206</f>
        <v>3763.2</v>
      </c>
      <c r="M225" s="86">
        <f>L225+K225+J225</f>
        <v>12210.239999999998</v>
      </c>
      <c r="N225" s="94">
        <f>N165*N206</f>
        <v>3333.12</v>
      </c>
      <c r="O225" s="94">
        <f>O165*O206</f>
        <v>2950.08</v>
      </c>
      <c r="P225" s="94">
        <f>P165*P206</f>
        <v>3299.52</v>
      </c>
      <c r="Q225" s="86">
        <f>P225+O225+N225</f>
        <v>9582.7200000000012</v>
      </c>
      <c r="R225" s="86">
        <f>Q225+M225+I225+E225</f>
        <v>61212.480000000003</v>
      </c>
    </row>
    <row r="226" spans="1:18">
      <c r="A226" s="86" t="s">
        <v>20</v>
      </c>
      <c r="B226" s="94">
        <f t="shared" ref="B226:Q226" si="47">SUM(B222:B225)</f>
        <v>131534.88</v>
      </c>
      <c r="C226" s="94">
        <f t="shared" si="47"/>
        <v>118910.23999999999</v>
      </c>
      <c r="D226" s="94">
        <f t="shared" si="47"/>
        <v>135643.84</v>
      </c>
      <c r="E226" s="86">
        <f t="shared" si="47"/>
        <v>386088.95999999996</v>
      </c>
      <c r="F226" s="94">
        <f t="shared" si="47"/>
        <v>146619.48799999998</v>
      </c>
      <c r="G226" s="94">
        <f t="shared" si="47"/>
        <v>163774.432</v>
      </c>
      <c r="H226" s="94">
        <f t="shared" si="47"/>
        <v>168601.76</v>
      </c>
      <c r="I226" s="86">
        <f t="shared" si="47"/>
        <v>478995.67999999993</v>
      </c>
      <c r="J226" s="94">
        <f t="shared" si="47"/>
        <v>134583.12</v>
      </c>
      <c r="K226" s="94">
        <f t="shared" si="47"/>
        <v>154725.20000000001</v>
      </c>
      <c r="L226" s="94">
        <f t="shared" si="47"/>
        <v>152013.44</v>
      </c>
      <c r="M226" s="86">
        <f t="shared" si="47"/>
        <v>441321.75999999995</v>
      </c>
      <c r="N226" s="94">
        <f t="shared" si="47"/>
        <v>136583.35999999999</v>
      </c>
      <c r="O226" s="94">
        <f t="shared" si="47"/>
        <v>123089.44</v>
      </c>
      <c r="P226" s="94">
        <f t="shared" si="47"/>
        <v>113381.12</v>
      </c>
      <c r="Q226" s="86">
        <f t="shared" si="47"/>
        <v>373053.92000000004</v>
      </c>
      <c r="R226" s="86">
        <f>Q226+M226+I226+E226</f>
        <v>1679460.3199999998</v>
      </c>
    </row>
    <row r="227" spans="1:18">
      <c r="A227" s="141" t="s">
        <v>142</v>
      </c>
      <c r="B227" s="94"/>
      <c r="C227" s="94"/>
      <c r="D227" s="94"/>
      <c r="E227" s="86"/>
      <c r="F227" s="94"/>
      <c r="G227" s="94"/>
      <c r="H227" s="94"/>
      <c r="I227" s="86"/>
      <c r="J227" s="94"/>
      <c r="K227" s="94"/>
      <c r="L227" s="94"/>
      <c r="M227" s="86"/>
      <c r="N227" s="94"/>
      <c r="O227" s="94"/>
      <c r="P227" s="94"/>
      <c r="Q227" s="86"/>
      <c r="R227" s="86"/>
    </row>
    <row r="228" spans="1:18">
      <c r="A228" s="95" t="s">
        <v>134</v>
      </c>
      <c r="B228" s="94">
        <f>B176*B206</f>
        <v>13758.720000000001</v>
      </c>
      <c r="C228" s="94">
        <f>C176*C206</f>
        <v>12275.2</v>
      </c>
      <c r="D228" s="94">
        <f>D176*D206</f>
        <v>13356.800000000001</v>
      </c>
      <c r="E228" s="86">
        <f>SUM(B228:D228)</f>
        <v>39390.720000000001</v>
      </c>
      <c r="F228" s="94">
        <f>F176*F206</f>
        <v>13881.6</v>
      </c>
      <c r="G228" s="94">
        <f>G176*G206</f>
        <v>15864.960000000001</v>
      </c>
      <c r="H228" s="94">
        <f>H176*H206</f>
        <v>15954.56</v>
      </c>
      <c r="I228" s="86">
        <f>F228+G228+H228</f>
        <v>45701.120000000003</v>
      </c>
      <c r="J228" s="94">
        <f>J176*J206</f>
        <v>16103.04</v>
      </c>
      <c r="K228" s="94">
        <f>K176*K206</f>
        <v>15428.48</v>
      </c>
      <c r="L228" s="94">
        <f>L176*L206</f>
        <v>14723.84</v>
      </c>
      <c r="M228" s="86">
        <f>J228+K228+L228</f>
        <v>46255.360000000001</v>
      </c>
      <c r="N228" s="94">
        <f>N176*N206</f>
        <v>13662.08</v>
      </c>
      <c r="O228" s="94">
        <f>O176*O206</f>
        <v>11720.32</v>
      </c>
      <c r="P228" s="94">
        <f>P176*P206</f>
        <v>11461.12</v>
      </c>
      <c r="Q228" s="86">
        <f>P228+O228+N228</f>
        <v>36843.520000000004</v>
      </c>
      <c r="R228" s="86">
        <f>Q228+M228+I228+E228</f>
        <v>168190.72</v>
      </c>
    </row>
    <row r="229" spans="1:18">
      <c r="A229" s="95" t="s">
        <v>135</v>
      </c>
      <c r="B229" s="94">
        <f>B177*B206</f>
        <v>9784.32</v>
      </c>
      <c r="C229" s="94">
        <f>C177*C206</f>
        <v>8889.6</v>
      </c>
      <c r="D229" s="94">
        <f>D177*D206</f>
        <v>10479.36</v>
      </c>
      <c r="E229" s="86">
        <f>B229+C229+D229</f>
        <v>29153.279999999999</v>
      </c>
      <c r="F229" s="94">
        <f>F177*F206</f>
        <v>11114.24</v>
      </c>
      <c r="G229" s="94">
        <f>G177*G206</f>
        <v>11031.04</v>
      </c>
      <c r="H229" s="94">
        <f>H177*H206</f>
        <v>11932.16</v>
      </c>
      <c r="I229" s="86">
        <f>F229+G229+H229</f>
        <v>34077.440000000002</v>
      </c>
      <c r="J229" s="94">
        <f>J177*J206</f>
        <v>4902.4000000000005</v>
      </c>
      <c r="K229" s="94">
        <f>K177*K206</f>
        <v>10419.200000000001</v>
      </c>
      <c r="L229" s="94">
        <f>L177*L206</f>
        <v>10958.08</v>
      </c>
      <c r="M229" s="86">
        <f>J229+K229+L229</f>
        <v>26279.68</v>
      </c>
      <c r="N229" s="94">
        <f>N177*N206</f>
        <v>9946.880000000001</v>
      </c>
      <c r="O229" s="94">
        <f>O177*O206</f>
        <v>9734.4</v>
      </c>
      <c r="P229" s="94">
        <f>P177*P206</f>
        <v>8906.24</v>
      </c>
      <c r="Q229" s="86">
        <f>P229+O229+N229</f>
        <v>28587.52</v>
      </c>
      <c r="R229" s="86">
        <f>Q229+M229+I229+E229</f>
        <v>118097.92</v>
      </c>
    </row>
    <row r="230" spans="1:18">
      <c r="A230" s="95" t="s">
        <v>136</v>
      </c>
      <c r="B230" s="95">
        <f>B178*B206</f>
        <v>1759.2</v>
      </c>
      <c r="C230" s="95">
        <f>C178*C206</f>
        <v>1640</v>
      </c>
      <c r="D230" s="95">
        <f>D178*D206</f>
        <v>2068</v>
      </c>
      <c r="E230" s="96">
        <f>B230+C230+D230</f>
        <v>5467.2</v>
      </c>
      <c r="F230" s="95">
        <f>F178*F206</f>
        <v>2566.4</v>
      </c>
      <c r="G230" s="95">
        <f>G178*G206</f>
        <v>3097.6000000000004</v>
      </c>
      <c r="H230" s="95">
        <f>H178*H206</f>
        <v>3272</v>
      </c>
      <c r="I230" s="96">
        <f>F230+G230+H230</f>
        <v>8936</v>
      </c>
      <c r="J230" s="95">
        <f>J178*J206</f>
        <v>3126</v>
      </c>
      <c r="K230" s="95">
        <f>K178*K206</f>
        <v>3230</v>
      </c>
      <c r="L230" s="95">
        <f>L178*L206</f>
        <v>3140</v>
      </c>
      <c r="M230" s="96">
        <f>J230+K230+L230</f>
        <v>9496</v>
      </c>
      <c r="N230" s="95">
        <f>N178*N206</f>
        <v>2499.2000000000003</v>
      </c>
      <c r="O230" s="95">
        <f>O178*O206</f>
        <v>2250.4</v>
      </c>
      <c r="P230" s="95">
        <f>P178*P206</f>
        <v>1606.4</v>
      </c>
      <c r="Q230" s="96">
        <f>P230+O230+N230</f>
        <v>6356</v>
      </c>
      <c r="R230" s="96">
        <f>Q230+M230+I230+E230</f>
        <v>30255.200000000001</v>
      </c>
    </row>
    <row r="231" spans="1:18">
      <c r="A231" s="95" t="s">
        <v>137</v>
      </c>
      <c r="B231" s="95">
        <f>B179*B206</f>
        <v>860.16</v>
      </c>
      <c r="C231" s="95">
        <f>C179*C206</f>
        <v>828.16</v>
      </c>
      <c r="D231" s="95">
        <f>D179*D206</f>
        <v>1016.32</v>
      </c>
      <c r="E231" s="96">
        <f>B231+C231+D231</f>
        <v>2704.64</v>
      </c>
      <c r="F231" s="95">
        <f>F179*F206</f>
        <v>1304.8320000000001</v>
      </c>
      <c r="G231" s="95">
        <f>G179*G206</f>
        <v>1824.768</v>
      </c>
      <c r="H231" s="95">
        <f>H179*H206</f>
        <v>1674.24</v>
      </c>
      <c r="I231" s="96">
        <f>F231+G231+H231</f>
        <v>4803.84</v>
      </c>
      <c r="J231" s="95">
        <f>J179*J206</f>
        <v>797.44</v>
      </c>
      <c r="K231" s="95">
        <f>K179*K206</f>
        <v>811.52</v>
      </c>
      <c r="L231" s="95">
        <f>L179*L206</f>
        <v>716.80000000000007</v>
      </c>
      <c r="M231" s="96">
        <f>J231+K231+L231</f>
        <v>2325.7600000000002</v>
      </c>
      <c r="N231" s="95">
        <f>N179*N206</f>
        <v>634.88</v>
      </c>
      <c r="O231" s="95">
        <f>O179*O206</f>
        <v>561.91999999999996</v>
      </c>
      <c r="P231" s="95">
        <f>P179*P206</f>
        <v>628.48</v>
      </c>
      <c r="Q231" s="96">
        <f>P231+O231+N231</f>
        <v>1825.2800000000002</v>
      </c>
      <c r="R231" s="96">
        <f>Q231+M231+I231+E231</f>
        <v>11659.52</v>
      </c>
    </row>
    <row r="232" spans="1:18">
      <c r="A232" s="86" t="s">
        <v>20</v>
      </c>
      <c r="B232" s="94">
        <f>B228+B229+B230+B231</f>
        <v>26162.400000000001</v>
      </c>
      <c r="C232" s="94">
        <f>SUM(C228:C231)</f>
        <v>23632.960000000003</v>
      </c>
      <c r="D232" s="94">
        <f>SUM(D228:D231)</f>
        <v>26920.480000000003</v>
      </c>
      <c r="E232" s="86">
        <f>B232+C232+D232</f>
        <v>76715.839999999997</v>
      </c>
      <c r="F232" s="94">
        <f>SUM(F228:F231)</f>
        <v>28867.072</v>
      </c>
      <c r="G232" s="94">
        <f>SUM(G228:G231)</f>
        <v>31818.367999999999</v>
      </c>
      <c r="H232" s="94">
        <f>SUM(H228:H231)</f>
        <v>32832.959999999999</v>
      </c>
      <c r="I232" s="86">
        <f>F232+G232+H232</f>
        <v>93518.399999999994</v>
      </c>
      <c r="J232" s="94">
        <f>J228+J229+J230+J231</f>
        <v>24928.880000000001</v>
      </c>
      <c r="K232" s="94">
        <f>SUM(K228:K231)</f>
        <v>29889.200000000001</v>
      </c>
      <c r="L232" s="94">
        <f>L228+L229+L230+L231</f>
        <v>29538.719999999998</v>
      </c>
      <c r="M232" s="86">
        <f>J232+K232+L232</f>
        <v>84356.800000000003</v>
      </c>
      <c r="N232" s="94">
        <f>SUM(N228:N231)</f>
        <v>26743.040000000001</v>
      </c>
      <c r="O232" s="94">
        <f>O228+O229+O230+O231</f>
        <v>24267.040000000001</v>
      </c>
      <c r="P232" s="94">
        <f>SUM(P228:P231)</f>
        <v>22602.240000000002</v>
      </c>
      <c r="Q232" s="86">
        <f>P232+O232+N232</f>
        <v>73612.320000000007</v>
      </c>
      <c r="R232" s="86">
        <f>Q232+M232+I232+E232</f>
        <v>328203.36</v>
      </c>
    </row>
    <row r="233" spans="1:18">
      <c r="A233" s="141" t="s">
        <v>144</v>
      </c>
      <c r="B233" s="95"/>
      <c r="C233" s="95"/>
      <c r="D233" s="95"/>
      <c r="E233" s="96"/>
      <c r="F233" s="95"/>
      <c r="G233" s="95"/>
      <c r="H233" s="95"/>
      <c r="I233" s="96"/>
      <c r="J233" s="95"/>
      <c r="K233" s="95"/>
      <c r="L233" s="95"/>
      <c r="M233" s="96"/>
      <c r="N233" s="95"/>
      <c r="O233" s="95"/>
      <c r="P233" s="95"/>
      <c r="Q233" s="96"/>
      <c r="R233" s="96"/>
    </row>
    <row r="234" spans="1:18">
      <c r="A234" s="95" t="s">
        <v>134</v>
      </c>
      <c r="B234" s="95">
        <f>B190*B206</f>
        <v>20638.079999999998</v>
      </c>
      <c r="C234" s="95">
        <f>C190*C206</f>
        <v>18412.8</v>
      </c>
      <c r="D234" s="95">
        <f>D190*D206</f>
        <v>20035.2</v>
      </c>
      <c r="E234" s="96">
        <f>SUM(B234:D234)</f>
        <v>59086.080000000002</v>
      </c>
      <c r="F234" s="95">
        <f>F190*F206</f>
        <v>20822.399999999998</v>
      </c>
      <c r="G234" s="95">
        <f t="shared" ref="G234:Q234" si="48">G190*G206</f>
        <v>23797.439999999999</v>
      </c>
      <c r="H234" s="95">
        <f t="shared" si="48"/>
        <v>23931.84</v>
      </c>
      <c r="I234" s="95">
        <f>F234+G234+H234</f>
        <v>68551.679999999993</v>
      </c>
      <c r="J234" s="95">
        <f t="shared" si="48"/>
        <v>24154.559999999998</v>
      </c>
      <c r="K234" s="95">
        <f t="shared" si="48"/>
        <v>23142.719999999998</v>
      </c>
      <c r="L234" s="95">
        <f t="shared" si="48"/>
        <v>22085.759999999998</v>
      </c>
      <c r="M234" s="95">
        <f t="shared" si="48"/>
        <v>208149.12</v>
      </c>
      <c r="N234" s="95">
        <f t="shared" si="48"/>
        <v>20493.12</v>
      </c>
      <c r="O234" s="95">
        <f t="shared" si="48"/>
        <v>17580.48</v>
      </c>
      <c r="P234" s="95">
        <f t="shared" si="48"/>
        <v>17191.68</v>
      </c>
      <c r="Q234" s="95">
        <f t="shared" si="48"/>
        <v>165795.84</v>
      </c>
      <c r="R234" s="95">
        <f>R190*R206</f>
        <v>3027432.96</v>
      </c>
    </row>
    <row r="235" spans="1:18">
      <c r="A235" s="95" t="s">
        <v>135</v>
      </c>
      <c r="B235" s="95">
        <f>B191*B206</f>
        <v>14676.48</v>
      </c>
      <c r="C235" s="95">
        <f>C191*C206</f>
        <v>13334.4</v>
      </c>
      <c r="D235" s="95">
        <f>D191*D206</f>
        <v>15719.039999999999</v>
      </c>
      <c r="E235" s="96">
        <f>SUM(B235:D235)</f>
        <v>43729.919999999998</v>
      </c>
      <c r="F235" s="95">
        <f>F191*F206</f>
        <v>16671.36</v>
      </c>
      <c r="G235" s="95">
        <f t="shared" ref="G235:Q235" si="49">G191*G206</f>
        <v>16546.559999999998</v>
      </c>
      <c r="H235" s="95">
        <f t="shared" si="49"/>
        <v>17898.239999999998</v>
      </c>
      <c r="I235" s="95">
        <f>F235+G235+H235</f>
        <v>51116.159999999996</v>
      </c>
      <c r="J235" s="95">
        <f t="shared" si="49"/>
        <v>7353.5999999999995</v>
      </c>
      <c r="K235" s="95">
        <f t="shared" si="49"/>
        <v>15628.8</v>
      </c>
      <c r="L235" s="95">
        <f t="shared" si="49"/>
        <v>16437.12</v>
      </c>
      <c r="M235" s="95">
        <f t="shared" si="49"/>
        <v>118258.56</v>
      </c>
      <c r="N235" s="95">
        <f t="shared" si="49"/>
        <v>14920.32</v>
      </c>
      <c r="O235" s="95">
        <f t="shared" si="49"/>
        <v>14601.6</v>
      </c>
      <c r="P235" s="95">
        <f t="shared" si="49"/>
        <v>13359.359999999999</v>
      </c>
      <c r="Q235" s="95">
        <f t="shared" si="49"/>
        <v>128643.84</v>
      </c>
      <c r="R235" s="95">
        <f>R191*R206</f>
        <v>2125762.5599999996</v>
      </c>
    </row>
    <row r="236" spans="1:18">
      <c r="A236" s="95" t="s">
        <v>136</v>
      </c>
      <c r="B236" s="95">
        <f>B192*B206</f>
        <v>4222.08</v>
      </c>
      <c r="C236" s="95">
        <f>C192*C206</f>
        <v>3936</v>
      </c>
      <c r="D236" s="95">
        <f>D192*D206</f>
        <v>4963.2</v>
      </c>
      <c r="E236" s="96">
        <f>SUM(B236:D236)</f>
        <v>13121.279999999999</v>
      </c>
      <c r="F236" s="95">
        <f>F192*F206</f>
        <v>6159.36</v>
      </c>
      <c r="G236" s="95">
        <f t="shared" ref="G236:Q236" si="50">G192*G206</f>
        <v>7434.24</v>
      </c>
      <c r="H236" s="95">
        <f t="shared" si="50"/>
        <v>7852.7999999999993</v>
      </c>
      <c r="I236" s="95">
        <f>F236+G236+H236</f>
        <v>21446.399999999998</v>
      </c>
      <c r="J236" s="95">
        <f t="shared" si="50"/>
        <v>7502.4</v>
      </c>
      <c r="K236" s="95">
        <f t="shared" si="50"/>
        <v>7752</v>
      </c>
      <c r="L236" s="95">
        <f t="shared" si="50"/>
        <v>7536</v>
      </c>
      <c r="M236" s="95">
        <f t="shared" si="50"/>
        <v>68371.200000000012</v>
      </c>
      <c r="N236" s="95">
        <f t="shared" si="50"/>
        <v>5998.08</v>
      </c>
      <c r="O236" s="95">
        <f t="shared" si="50"/>
        <v>5400.96</v>
      </c>
      <c r="P236" s="95">
        <f t="shared" si="50"/>
        <v>3855.3599999999997</v>
      </c>
      <c r="Q236" s="95">
        <f t="shared" si="50"/>
        <v>45763.200000000004</v>
      </c>
      <c r="R236" s="95">
        <f>R192*R206</f>
        <v>871349.76000000001</v>
      </c>
    </row>
    <row r="237" spans="1:18">
      <c r="A237" s="95" t="s">
        <v>137</v>
      </c>
      <c r="B237" s="95">
        <f>B193*B206</f>
        <v>1290.24</v>
      </c>
      <c r="C237" s="95">
        <f>C193*C206</f>
        <v>1242.24</v>
      </c>
      <c r="D237" s="95">
        <f>D193*D206</f>
        <v>1524.48</v>
      </c>
      <c r="E237" s="96">
        <f>SUM(B237:D237)</f>
        <v>4056.96</v>
      </c>
      <c r="F237" s="95">
        <f>F193*F206</f>
        <v>1957.248</v>
      </c>
      <c r="G237" s="95">
        <f t="shared" ref="G237:Q237" si="51">G193*G206</f>
        <v>2737.1519999999996</v>
      </c>
      <c r="H237" s="95">
        <f t="shared" si="51"/>
        <v>2511.36</v>
      </c>
      <c r="I237" s="95">
        <f>F237+G237+H237</f>
        <v>7205.76</v>
      </c>
      <c r="J237" s="95">
        <f t="shared" si="51"/>
        <v>1196.1599999999999</v>
      </c>
      <c r="K237" s="95">
        <f t="shared" si="51"/>
        <v>1217.28</v>
      </c>
      <c r="L237" s="95">
        <f t="shared" si="51"/>
        <v>1075.2</v>
      </c>
      <c r="M237" s="95">
        <f t="shared" si="51"/>
        <v>10465.919999999998</v>
      </c>
      <c r="N237" s="95">
        <f t="shared" si="51"/>
        <v>952.31999999999994</v>
      </c>
      <c r="O237" s="95">
        <f t="shared" si="51"/>
        <v>842.88</v>
      </c>
      <c r="P237" s="95">
        <f t="shared" si="51"/>
        <v>942.71999999999991</v>
      </c>
      <c r="Q237" s="95">
        <f t="shared" si="51"/>
        <v>8213.7599999999984</v>
      </c>
      <c r="R237" s="95">
        <f>R193*R206</f>
        <v>209871.35999999999</v>
      </c>
    </row>
    <row r="238" spans="1:18">
      <c r="A238" s="86" t="s">
        <v>20</v>
      </c>
      <c r="B238" s="95">
        <f>B234+B235+B236+B237</f>
        <v>40826.879999999997</v>
      </c>
      <c r="C238" s="95">
        <f>C234+C235+C236+C237</f>
        <v>36925.439999999995</v>
      </c>
      <c r="D238" s="95">
        <f>D234+D235+D236+D237</f>
        <v>42241.919999999998</v>
      </c>
      <c r="E238" s="96">
        <f>SUM(B238:D238)</f>
        <v>119994.23999999999</v>
      </c>
      <c r="F238" s="95">
        <f>F234+F235+F236+F237</f>
        <v>45610.367999999995</v>
      </c>
      <c r="G238" s="95">
        <f>G234+G235+G236+G237</f>
        <v>50515.392</v>
      </c>
      <c r="H238" s="95">
        <f>H234+H235+H236+H237</f>
        <v>52194.240000000005</v>
      </c>
      <c r="I238" s="95">
        <f>F238+G238+H238</f>
        <v>148320</v>
      </c>
      <c r="J238" s="95">
        <f t="shared" ref="J238:R238" si="52">J234+J235+J236+J237</f>
        <v>40206.720000000001</v>
      </c>
      <c r="K238" s="95">
        <f t="shared" si="52"/>
        <v>47740.799999999996</v>
      </c>
      <c r="L238" s="95">
        <f t="shared" si="52"/>
        <v>47134.079999999994</v>
      </c>
      <c r="M238" s="95">
        <f t="shared" si="52"/>
        <v>405244.8</v>
      </c>
      <c r="N238" s="95">
        <f t="shared" si="52"/>
        <v>42363.840000000004</v>
      </c>
      <c r="O238" s="95">
        <f t="shared" si="52"/>
        <v>38425.919999999998</v>
      </c>
      <c r="P238" s="95">
        <f t="shared" si="52"/>
        <v>35349.120000000003</v>
      </c>
      <c r="Q238" s="95">
        <f t="shared" si="52"/>
        <v>348416.64</v>
      </c>
      <c r="R238" s="95">
        <f t="shared" si="52"/>
        <v>6234416.6399999997</v>
      </c>
    </row>
    <row r="239" spans="1:18">
      <c r="A239" s="147" t="s">
        <v>20</v>
      </c>
      <c r="B239" s="94">
        <f>B220+B226+B232+B238</f>
        <v>225742.08000000002</v>
      </c>
      <c r="C239" s="94">
        <f>C238+C232+C226+C220</f>
        <v>204085.59999999998</v>
      </c>
      <c r="D239" s="94">
        <f>D238+D232+D226+D220</f>
        <v>232967.52</v>
      </c>
      <c r="E239" s="86">
        <f>E238+E232+E226+E220</f>
        <v>662795.19999999995</v>
      </c>
      <c r="F239" s="94">
        <f>F220+F226+F232+F238</f>
        <v>251503.84</v>
      </c>
      <c r="G239" s="94">
        <f>G238+G232+G226+G220</f>
        <v>279785.12</v>
      </c>
      <c r="H239" s="94">
        <f>H238+H232+H226+H220</f>
        <v>288425.12</v>
      </c>
      <c r="I239" s="86">
        <f>I238+I232+I226+I220</f>
        <v>819714.08</v>
      </c>
      <c r="J239" s="94">
        <f>J220+J226+J232+J238</f>
        <v>226523.2</v>
      </c>
      <c r="K239" s="94">
        <f t="shared" ref="K239:R239" si="53">K238+K232+K226+K220</f>
        <v>264182.40000000002</v>
      </c>
      <c r="L239" s="94">
        <f t="shared" si="53"/>
        <v>260108.96</v>
      </c>
      <c r="M239" s="86">
        <f t="shared" si="53"/>
        <v>1020977.7599999999</v>
      </c>
      <c r="N239" s="94">
        <f t="shared" si="53"/>
        <v>233932.79999999999</v>
      </c>
      <c r="O239" s="94">
        <f t="shared" si="53"/>
        <v>211399.67999999999</v>
      </c>
      <c r="P239" s="86">
        <f t="shared" si="53"/>
        <v>194898.56</v>
      </c>
      <c r="Q239" s="94">
        <f t="shared" si="53"/>
        <v>872508.80000000016</v>
      </c>
      <c r="R239" s="86">
        <f t="shared" si="53"/>
        <v>8588436.8000000007</v>
      </c>
    </row>
    <row r="243" spans="1:18">
      <c r="A243" s="106" t="s">
        <v>151</v>
      </c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</row>
    <row r="244" spans="1:18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</row>
    <row r="245" spans="1:18">
      <c r="A245" s="110"/>
      <c r="B245" s="102" t="s">
        <v>4</v>
      </c>
      <c r="C245" s="102" t="s">
        <v>5</v>
      </c>
      <c r="D245" s="102" t="s">
        <v>6</v>
      </c>
      <c r="E245" s="102" t="s">
        <v>7</v>
      </c>
      <c r="F245" s="102" t="s">
        <v>8</v>
      </c>
      <c r="G245" s="102" t="s">
        <v>9</v>
      </c>
      <c r="H245" s="102" t="s">
        <v>10</v>
      </c>
      <c r="I245" s="102" t="s">
        <v>11</v>
      </c>
      <c r="J245" s="102" t="s">
        <v>12</v>
      </c>
      <c r="K245" s="102" t="s">
        <v>67</v>
      </c>
      <c r="L245" s="102" t="s">
        <v>68</v>
      </c>
      <c r="M245" s="102" t="s">
        <v>15</v>
      </c>
      <c r="N245" s="102" t="s">
        <v>16</v>
      </c>
      <c r="O245" s="102" t="s">
        <v>17</v>
      </c>
      <c r="P245" s="102" t="s">
        <v>18</v>
      </c>
      <c r="Q245" s="102" t="s">
        <v>69</v>
      </c>
      <c r="R245" s="102" t="s">
        <v>44</v>
      </c>
    </row>
    <row r="246" spans="1:18">
      <c r="A246" s="105" t="s">
        <v>125</v>
      </c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</row>
    <row r="247" spans="1:18">
      <c r="A247" s="151" t="s">
        <v>101</v>
      </c>
      <c r="B247" s="94">
        <f>B206*$V$5</f>
        <v>1.28</v>
      </c>
      <c r="C247" s="94">
        <f>C206*$V$5</f>
        <v>1.28</v>
      </c>
      <c r="D247" s="94">
        <f>D206*$V$5</f>
        <v>1.28</v>
      </c>
      <c r="E247" s="86">
        <f>B247+C247+D247</f>
        <v>3.84</v>
      </c>
      <c r="F247" s="94">
        <f>F206*$V$5</f>
        <v>1.28</v>
      </c>
      <c r="G247" s="94">
        <f>G206*$V$5</f>
        <v>1.28</v>
      </c>
      <c r="H247" s="94">
        <f>H206*$V$5</f>
        <v>1.28</v>
      </c>
      <c r="I247" s="86">
        <f>F247+G247+H247</f>
        <v>3.84</v>
      </c>
      <c r="J247" s="94">
        <f>J206*$V$5</f>
        <v>1.28</v>
      </c>
      <c r="K247" s="94">
        <f>K206*$V$5</f>
        <v>1.28</v>
      </c>
      <c r="L247" s="94">
        <f>L206*$V$5</f>
        <v>1.28</v>
      </c>
      <c r="M247" s="86">
        <f>J247+K247+L247</f>
        <v>3.84</v>
      </c>
      <c r="N247" s="94">
        <f>N206*$V$5</f>
        <v>1.28</v>
      </c>
      <c r="O247" s="94">
        <f>O206*$V$5</f>
        <v>1.28</v>
      </c>
      <c r="P247" s="94">
        <f>P206*$V$5</f>
        <v>1.28</v>
      </c>
      <c r="Q247" s="86">
        <f>N247+O247+P247</f>
        <v>3.84</v>
      </c>
      <c r="R247" s="86">
        <f>Q247+M247+I247+E247</f>
        <v>15.36</v>
      </c>
    </row>
    <row r="248" spans="1:18">
      <c r="A248" s="151" t="s">
        <v>152</v>
      </c>
      <c r="B248" s="94">
        <f>B206*$V$13</f>
        <v>1.28</v>
      </c>
      <c r="C248" s="94">
        <f>C206*$V$13</f>
        <v>1.28</v>
      </c>
      <c r="D248" s="94">
        <f>D206*$V$13</f>
        <v>1.28</v>
      </c>
      <c r="E248" s="86">
        <f>B248+C248+D248</f>
        <v>3.84</v>
      </c>
      <c r="F248" s="94">
        <f t="shared" ref="F248:R248" si="54">F206*$V$13</f>
        <v>1.28</v>
      </c>
      <c r="G248" s="94">
        <f t="shared" si="54"/>
        <v>1.28</v>
      </c>
      <c r="H248" s="94">
        <f t="shared" si="54"/>
        <v>1.28</v>
      </c>
      <c r="I248" s="86">
        <f t="shared" si="54"/>
        <v>3.84</v>
      </c>
      <c r="J248" s="94">
        <f t="shared" si="54"/>
        <v>1.28</v>
      </c>
      <c r="K248" s="94">
        <f t="shared" si="54"/>
        <v>1.28</v>
      </c>
      <c r="L248" s="94">
        <f t="shared" si="54"/>
        <v>1.28</v>
      </c>
      <c r="M248" s="86">
        <f t="shared" si="54"/>
        <v>3.84</v>
      </c>
      <c r="N248" s="94">
        <f t="shared" si="54"/>
        <v>1.28</v>
      </c>
      <c r="O248" s="94">
        <f t="shared" si="54"/>
        <v>1.28</v>
      </c>
      <c r="P248" s="94">
        <f t="shared" si="54"/>
        <v>1.28</v>
      </c>
      <c r="Q248" s="86">
        <f t="shared" si="54"/>
        <v>3.84</v>
      </c>
      <c r="R248" s="86">
        <f t="shared" si="54"/>
        <v>15.36</v>
      </c>
    </row>
    <row r="249" spans="1:18">
      <c r="A249" s="150" t="s">
        <v>153</v>
      </c>
      <c r="B249" s="94">
        <f t="shared" ref="B249:R249" si="55">B206*$V$21</f>
        <v>1.28</v>
      </c>
      <c r="C249" s="94">
        <f t="shared" si="55"/>
        <v>1.28</v>
      </c>
      <c r="D249" s="94">
        <f t="shared" si="55"/>
        <v>1.28</v>
      </c>
      <c r="E249" s="86">
        <f t="shared" si="55"/>
        <v>3.84</v>
      </c>
      <c r="F249" s="94">
        <f t="shared" si="55"/>
        <v>1.28</v>
      </c>
      <c r="G249" s="94">
        <f t="shared" si="55"/>
        <v>1.28</v>
      </c>
      <c r="H249" s="94">
        <f t="shared" si="55"/>
        <v>1.28</v>
      </c>
      <c r="I249" s="86">
        <f t="shared" si="55"/>
        <v>3.84</v>
      </c>
      <c r="J249" s="94">
        <f t="shared" si="55"/>
        <v>1.28</v>
      </c>
      <c r="K249" s="94">
        <f t="shared" si="55"/>
        <v>1.28</v>
      </c>
      <c r="L249" s="94">
        <f t="shared" si="55"/>
        <v>1.28</v>
      </c>
      <c r="M249" s="86">
        <f t="shared" si="55"/>
        <v>3.84</v>
      </c>
      <c r="N249" s="94">
        <f t="shared" si="55"/>
        <v>1.28</v>
      </c>
      <c r="O249" s="94">
        <f t="shared" si="55"/>
        <v>1.28</v>
      </c>
      <c r="P249" s="94">
        <f t="shared" si="55"/>
        <v>1.28</v>
      </c>
      <c r="Q249" s="86">
        <f t="shared" si="55"/>
        <v>3.84</v>
      </c>
      <c r="R249" s="86">
        <f t="shared" si="55"/>
        <v>15.36</v>
      </c>
    </row>
    <row r="250" spans="1:18">
      <c r="A250" s="151" t="s">
        <v>154</v>
      </c>
      <c r="B250" s="94">
        <f t="shared" ref="B250:R250" si="56">B206*$V$30</f>
        <v>1.28</v>
      </c>
      <c r="C250" s="94">
        <f t="shared" si="56"/>
        <v>1.28</v>
      </c>
      <c r="D250" s="94">
        <f t="shared" si="56"/>
        <v>1.28</v>
      </c>
      <c r="E250" s="86">
        <f t="shared" si="56"/>
        <v>3.84</v>
      </c>
      <c r="F250" s="94">
        <f t="shared" si="56"/>
        <v>1.28</v>
      </c>
      <c r="G250" s="94">
        <f t="shared" si="56"/>
        <v>1.28</v>
      </c>
      <c r="H250" s="94">
        <f t="shared" si="56"/>
        <v>1.28</v>
      </c>
      <c r="I250" s="86">
        <f t="shared" si="56"/>
        <v>3.84</v>
      </c>
      <c r="J250" s="94">
        <f t="shared" si="56"/>
        <v>1.28</v>
      </c>
      <c r="K250" s="94">
        <f t="shared" si="56"/>
        <v>1.28</v>
      </c>
      <c r="L250" s="94">
        <f t="shared" si="56"/>
        <v>1.28</v>
      </c>
      <c r="M250" s="86">
        <f t="shared" si="56"/>
        <v>3.84</v>
      </c>
      <c r="N250" s="94">
        <f t="shared" si="56"/>
        <v>1.28</v>
      </c>
      <c r="O250" s="94">
        <f t="shared" si="56"/>
        <v>1.28</v>
      </c>
      <c r="P250" s="94">
        <f t="shared" si="56"/>
        <v>1.28</v>
      </c>
      <c r="Q250" s="86">
        <f t="shared" si="56"/>
        <v>3.84</v>
      </c>
      <c r="R250" s="86">
        <f t="shared" si="56"/>
        <v>15.36</v>
      </c>
    </row>
    <row r="251" spans="1:18">
      <c r="A251" s="106" t="s">
        <v>140</v>
      </c>
      <c r="B251" s="94"/>
      <c r="C251" s="94"/>
      <c r="D251" s="94"/>
      <c r="E251" s="86"/>
      <c r="F251" s="94"/>
      <c r="G251" s="94"/>
      <c r="H251" s="94"/>
      <c r="I251" s="86"/>
      <c r="J251" s="94"/>
      <c r="K251" s="94"/>
      <c r="L251" s="94"/>
      <c r="M251" s="86"/>
      <c r="N251" s="94"/>
      <c r="O251" s="94"/>
      <c r="P251" s="94"/>
      <c r="Q251" s="86"/>
      <c r="R251" s="86"/>
    </row>
    <row r="252" spans="1:18">
      <c r="A252" s="150" t="s">
        <v>101</v>
      </c>
      <c r="B252" s="94">
        <f t="shared" ref="B252:R252" si="57">B206*$W$5</f>
        <v>6.72</v>
      </c>
      <c r="C252" s="94">
        <f t="shared" si="57"/>
        <v>6.72</v>
      </c>
      <c r="D252" s="94">
        <f t="shared" si="57"/>
        <v>6.72</v>
      </c>
      <c r="E252" s="86">
        <f t="shared" si="57"/>
        <v>20.16</v>
      </c>
      <c r="F252" s="94">
        <f t="shared" si="57"/>
        <v>6.72</v>
      </c>
      <c r="G252" s="94">
        <f t="shared" si="57"/>
        <v>6.72</v>
      </c>
      <c r="H252" s="94">
        <f t="shared" si="57"/>
        <v>6.72</v>
      </c>
      <c r="I252" s="86">
        <f t="shared" si="57"/>
        <v>20.16</v>
      </c>
      <c r="J252" s="94">
        <f t="shared" si="57"/>
        <v>6.72</v>
      </c>
      <c r="K252" s="94">
        <f t="shared" si="57"/>
        <v>6.72</v>
      </c>
      <c r="L252" s="94">
        <f t="shared" si="57"/>
        <v>6.72</v>
      </c>
      <c r="M252" s="86">
        <f t="shared" si="57"/>
        <v>20.16</v>
      </c>
      <c r="N252" s="94">
        <f t="shared" si="57"/>
        <v>6.72</v>
      </c>
      <c r="O252" s="94">
        <f t="shared" si="57"/>
        <v>6.72</v>
      </c>
      <c r="P252" s="94">
        <f t="shared" si="57"/>
        <v>6.72</v>
      </c>
      <c r="Q252" s="86">
        <f t="shared" si="57"/>
        <v>20.16</v>
      </c>
      <c r="R252" s="86">
        <f t="shared" si="57"/>
        <v>80.64</v>
      </c>
    </row>
    <row r="253" spans="1:18">
      <c r="A253" s="151" t="s">
        <v>152</v>
      </c>
      <c r="B253" s="94">
        <f t="shared" ref="B253:R253" si="58">B206*$W$13</f>
        <v>5.28</v>
      </c>
      <c r="C253" s="94">
        <f t="shared" si="58"/>
        <v>5.28</v>
      </c>
      <c r="D253" s="94">
        <f t="shared" si="58"/>
        <v>5.28</v>
      </c>
      <c r="E253" s="86">
        <f t="shared" si="58"/>
        <v>15.84</v>
      </c>
      <c r="F253" s="94">
        <f t="shared" si="58"/>
        <v>5.28</v>
      </c>
      <c r="G253" s="94">
        <f t="shared" si="58"/>
        <v>5.28</v>
      </c>
      <c r="H253" s="94">
        <f t="shared" si="58"/>
        <v>5.28</v>
      </c>
      <c r="I253" s="86">
        <f t="shared" si="58"/>
        <v>15.84</v>
      </c>
      <c r="J253" s="94">
        <f t="shared" si="58"/>
        <v>5.28</v>
      </c>
      <c r="K253" s="94">
        <f t="shared" si="58"/>
        <v>5.28</v>
      </c>
      <c r="L253" s="94">
        <f t="shared" si="58"/>
        <v>5.28</v>
      </c>
      <c r="M253" s="86">
        <f t="shared" si="58"/>
        <v>15.84</v>
      </c>
      <c r="N253" s="94">
        <f t="shared" si="58"/>
        <v>5.28</v>
      </c>
      <c r="O253" s="94">
        <f t="shared" si="58"/>
        <v>5.28</v>
      </c>
      <c r="P253" s="94">
        <f t="shared" si="58"/>
        <v>5.28</v>
      </c>
      <c r="Q253" s="86">
        <f t="shared" si="58"/>
        <v>15.84</v>
      </c>
      <c r="R253" s="86">
        <f t="shared" si="58"/>
        <v>63.36</v>
      </c>
    </row>
    <row r="254" spans="1:18">
      <c r="A254" s="151" t="s">
        <v>153</v>
      </c>
      <c r="B254" s="94">
        <f t="shared" ref="B254:R254" si="59">B206*$W$21</f>
        <v>6.56</v>
      </c>
      <c r="C254" s="94">
        <f t="shared" si="59"/>
        <v>6.56</v>
      </c>
      <c r="D254" s="94">
        <f t="shared" si="59"/>
        <v>6.56</v>
      </c>
      <c r="E254" s="86">
        <f t="shared" si="59"/>
        <v>19.68</v>
      </c>
      <c r="F254" s="94">
        <f t="shared" si="59"/>
        <v>6.56</v>
      </c>
      <c r="G254" s="94">
        <f t="shared" si="59"/>
        <v>6.56</v>
      </c>
      <c r="H254" s="94">
        <f t="shared" si="59"/>
        <v>6.56</v>
      </c>
      <c r="I254" s="86">
        <f t="shared" si="59"/>
        <v>19.68</v>
      </c>
      <c r="J254" s="94">
        <f t="shared" si="59"/>
        <v>6.56</v>
      </c>
      <c r="K254" s="94">
        <f t="shared" si="59"/>
        <v>6.56</v>
      </c>
      <c r="L254" s="94">
        <f t="shared" si="59"/>
        <v>6.56</v>
      </c>
      <c r="M254" s="86">
        <f t="shared" si="59"/>
        <v>19.68</v>
      </c>
      <c r="N254" s="94">
        <f t="shared" si="59"/>
        <v>6.56</v>
      </c>
      <c r="O254" s="94">
        <f t="shared" si="59"/>
        <v>6.56</v>
      </c>
      <c r="P254" s="94">
        <f t="shared" si="59"/>
        <v>6.56</v>
      </c>
      <c r="Q254" s="86">
        <f t="shared" si="59"/>
        <v>19.68</v>
      </c>
      <c r="R254" s="86">
        <f t="shared" si="59"/>
        <v>78.72</v>
      </c>
    </row>
    <row r="255" spans="1:18">
      <c r="A255" s="151" t="s">
        <v>154</v>
      </c>
      <c r="B255" s="30">
        <f t="shared" ref="B255:R255" si="60">B206*$W$30</f>
        <v>6.72</v>
      </c>
      <c r="C255" s="30">
        <f t="shared" si="60"/>
        <v>6.72</v>
      </c>
      <c r="D255" s="30">
        <f t="shared" si="60"/>
        <v>6.72</v>
      </c>
      <c r="E255" s="50">
        <f t="shared" si="60"/>
        <v>20.16</v>
      </c>
      <c r="F255" s="30">
        <f t="shared" si="60"/>
        <v>6.72</v>
      </c>
      <c r="G255" s="30">
        <f t="shared" si="60"/>
        <v>6.72</v>
      </c>
      <c r="H255" s="30">
        <f t="shared" si="60"/>
        <v>6.72</v>
      </c>
      <c r="I255" s="50">
        <f t="shared" si="60"/>
        <v>20.16</v>
      </c>
      <c r="J255" s="30">
        <f t="shared" si="60"/>
        <v>6.72</v>
      </c>
      <c r="K255" s="30">
        <f t="shared" si="60"/>
        <v>6.72</v>
      </c>
      <c r="L255" s="30">
        <f t="shared" si="60"/>
        <v>6.72</v>
      </c>
      <c r="M255" s="50">
        <f t="shared" si="60"/>
        <v>20.16</v>
      </c>
      <c r="N255" s="30">
        <f t="shared" si="60"/>
        <v>6.72</v>
      </c>
      <c r="O255" s="30">
        <f t="shared" si="60"/>
        <v>6.72</v>
      </c>
      <c r="P255" s="30">
        <f t="shared" si="60"/>
        <v>6.72</v>
      </c>
      <c r="Q255" s="50">
        <f t="shared" si="60"/>
        <v>20.16</v>
      </c>
      <c r="R255" s="50">
        <f t="shared" si="60"/>
        <v>80.64</v>
      </c>
    </row>
    <row r="256" spans="1:18">
      <c r="A256" s="105" t="s">
        <v>142</v>
      </c>
      <c r="B256" s="94"/>
      <c r="C256" s="94"/>
      <c r="D256" s="94"/>
      <c r="E256" s="86"/>
      <c r="F256" s="94"/>
      <c r="G256" s="94"/>
      <c r="H256" s="94"/>
      <c r="I256" s="86"/>
      <c r="J256" s="94"/>
      <c r="K256" s="94"/>
      <c r="L256" s="94"/>
      <c r="M256" s="86"/>
      <c r="N256" s="94"/>
      <c r="O256" s="94"/>
      <c r="P256" s="94"/>
      <c r="Q256" s="86"/>
      <c r="R256" s="86"/>
    </row>
    <row r="257" spans="1:18">
      <c r="A257" s="149" t="s">
        <v>101</v>
      </c>
      <c r="B257" s="94">
        <f t="shared" ref="B257:R257" si="61">B206*$X$5</f>
        <v>1.28</v>
      </c>
      <c r="C257" s="94">
        <f t="shared" si="61"/>
        <v>1.28</v>
      </c>
      <c r="D257" s="94">
        <f t="shared" si="61"/>
        <v>1.28</v>
      </c>
      <c r="E257" s="86">
        <f t="shared" si="61"/>
        <v>3.84</v>
      </c>
      <c r="F257" s="94">
        <f t="shared" si="61"/>
        <v>1.28</v>
      </c>
      <c r="G257" s="94">
        <f t="shared" si="61"/>
        <v>1.28</v>
      </c>
      <c r="H257" s="94">
        <f t="shared" si="61"/>
        <v>1.28</v>
      </c>
      <c r="I257" s="86">
        <f t="shared" si="61"/>
        <v>3.84</v>
      </c>
      <c r="J257" s="94">
        <f t="shared" si="61"/>
        <v>1.28</v>
      </c>
      <c r="K257" s="94">
        <f t="shared" si="61"/>
        <v>1.28</v>
      </c>
      <c r="L257" s="94">
        <f t="shared" si="61"/>
        <v>1.28</v>
      </c>
      <c r="M257" s="86">
        <f t="shared" si="61"/>
        <v>3.84</v>
      </c>
      <c r="N257" s="94">
        <f t="shared" si="61"/>
        <v>1.28</v>
      </c>
      <c r="O257" s="94">
        <f t="shared" si="61"/>
        <v>1.28</v>
      </c>
      <c r="P257" s="94">
        <f t="shared" si="61"/>
        <v>1.28</v>
      </c>
      <c r="Q257" s="86">
        <f t="shared" si="61"/>
        <v>3.84</v>
      </c>
      <c r="R257" s="86">
        <f t="shared" si="61"/>
        <v>15.36</v>
      </c>
    </row>
    <row r="258" spans="1:18">
      <c r="A258" s="149" t="s">
        <v>152</v>
      </c>
      <c r="B258" s="94">
        <f t="shared" ref="B258:R258" si="62">B206*$X$13</f>
        <v>1.28</v>
      </c>
      <c r="C258" s="94">
        <f t="shared" si="62"/>
        <v>1.28</v>
      </c>
      <c r="D258" s="94">
        <f t="shared" si="62"/>
        <v>1.28</v>
      </c>
      <c r="E258" s="86">
        <f t="shared" si="62"/>
        <v>3.84</v>
      </c>
      <c r="F258" s="94">
        <f t="shared" si="62"/>
        <v>1.28</v>
      </c>
      <c r="G258" s="94">
        <f t="shared" si="62"/>
        <v>1.28</v>
      </c>
      <c r="H258" s="94">
        <f t="shared" si="62"/>
        <v>1.28</v>
      </c>
      <c r="I258" s="86">
        <f t="shared" si="62"/>
        <v>3.84</v>
      </c>
      <c r="J258" s="94">
        <f t="shared" si="62"/>
        <v>1.28</v>
      </c>
      <c r="K258" s="94">
        <f t="shared" si="62"/>
        <v>1.28</v>
      </c>
      <c r="L258" s="94">
        <f t="shared" si="62"/>
        <v>1.28</v>
      </c>
      <c r="M258" s="86">
        <f t="shared" si="62"/>
        <v>3.84</v>
      </c>
      <c r="N258" s="94">
        <f t="shared" si="62"/>
        <v>1.28</v>
      </c>
      <c r="O258" s="94">
        <f t="shared" si="62"/>
        <v>1.28</v>
      </c>
      <c r="P258" s="94">
        <f t="shared" si="62"/>
        <v>1.28</v>
      </c>
      <c r="Q258" s="86">
        <f t="shared" si="62"/>
        <v>3.84</v>
      </c>
      <c r="R258" s="86">
        <f t="shared" si="62"/>
        <v>15.36</v>
      </c>
    </row>
    <row r="259" spans="1:18">
      <c r="A259" s="149" t="s">
        <v>153</v>
      </c>
      <c r="B259" s="94">
        <f t="shared" ref="B259:R259" si="63">B206*$X$21</f>
        <v>0.8</v>
      </c>
      <c r="C259" s="94">
        <f t="shared" si="63"/>
        <v>0.8</v>
      </c>
      <c r="D259" s="94">
        <f t="shared" si="63"/>
        <v>0.8</v>
      </c>
      <c r="E259" s="86">
        <f t="shared" si="63"/>
        <v>2.4000000000000004</v>
      </c>
      <c r="F259" s="94">
        <f t="shared" si="63"/>
        <v>0.8</v>
      </c>
      <c r="G259" s="94">
        <f t="shared" si="63"/>
        <v>0.8</v>
      </c>
      <c r="H259" s="94">
        <f t="shared" si="63"/>
        <v>0.8</v>
      </c>
      <c r="I259" s="86">
        <f t="shared" si="63"/>
        <v>2.4000000000000004</v>
      </c>
      <c r="J259" s="94">
        <f t="shared" si="63"/>
        <v>0.8</v>
      </c>
      <c r="K259" s="94">
        <f t="shared" si="63"/>
        <v>0.8</v>
      </c>
      <c r="L259" s="94">
        <f t="shared" si="63"/>
        <v>0.8</v>
      </c>
      <c r="M259" s="86">
        <f t="shared" si="63"/>
        <v>2.4000000000000004</v>
      </c>
      <c r="N259" s="94">
        <f t="shared" si="63"/>
        <v>0.8</v>
      </c>
      <c r="O259" s="94">
        <f t="shared" si="63"/>
        <v>0.8</v>
      </c>
      <c r="P259" s="94">
        <f t="shared" si="63"/>
        <v>0.8</v>
      </c>
      <c r="Q259" s="86">
        <f t="shared" si="63"/>
        <v>2.4000000000000004</v>
      </c>
      <c r="R259" s="86">
        <f t="shared" si="63"/>
        <v>9.6000000000000014</v>
      </c>
    </row>
    <row r="260" spans="1:18">
      <c r="A260" s="98" t="s">
        <v>154</v>
      </c>
      <c r="B260" s="95">
        <f t="shared" ref="B260:R260" si="64">B206*$X$30</f>
        <v>1.28</v>
      </c>
      <c r="C260" s="95">
        <f t="shared" si="64"/>
        <v>1.28</v>
      </c>
      <c r="D260" s="95">
        <f t="shared" si="64"/>
        <v>1.28</v>
      </c>
      <c r="E260" s="96">
        <f t="shared" si="64"/>
        <v>3.84</v>
      </c>
      <c r="F260" s="95">
        <f t="shared" si="64"/>
        <v>1.28</v>
      </c>
      <c r="G260" s="95">
        <f t="shared" si="64"/>
        <v>1.28</v>
      </c>
      <c r="H260" s="95">
        <f t="shared" si="64"/>
        <v>1.28</v>
      </c>
      <c r="I260" s="96">
        <f t="shared" si="64"/>
        <v>3.84</v>
      </c>
      <c r="J260" s="95">
        <f t="shared" si="64"/>
        <v>1.28</v>
      </c>
      <c r="K260" s="95">
        <f t="shared" si="64"/>
        <v>1.28</v>
      </c>
      <c r="L260" s="95">
        <f t="shared" si="64"/>
        <v>1.28</v>
      </c>
      <c r="M260" s="96">
        <f t="shared" si="64"/>
        <v>3.84</v>
      </c>
      <c r="N260" s="95">
        <f t="shared" si="64"/>
        <v>1.28</v>
      </c>
      <c r="O260" s="95">
        <f t="shared" si="64"/>
        <v>1.28</v>
      </c>
      <c r="P260" s="95">
        <f t="shared" si="64"/>
        <v>1.28</v>
      </c>
      <c r="Q260" s="96">
        <f t="shared" si="64"/>
        <v>3.84</v>
      </c>
      <c r="R260" s="96">
        <f t="shared" si="64"/>
        <v>15.36</v>
      </c>
    </row>
    <row r="261" spans="1:18">
      <c r="A261" s="96" t="s">
        <v>144</v>
      </c>
      <c r="B261" s="95"/>
      <c r="C261" s="95"/>
      <c r="D261" s="95"/>
      <c r="E261" s="96"/>
      <c r="F261" s="95"/>
      <c r="G261" s="95"/>
      <c r="H261" s="95"/>
      <c r="I261" s="96"/>
      <c r="J261" s="95"/>
      <c r="K261" s="95"/>
      <c r="L261" s="95"/>
      <c r="M261" s="96"/>
      <c r="N261" s="95"/>
      <c r="O261" s="95"/>
      <c r="P261" s="95"/>
      <c r="Q261" s="96"/>
      <c r="R261" s="96"/>
    </row>
    <row r="262" spans="1:18">
      <c r="A262" s="98" t="s">
        <v>101</v>
      </c>
      <c r="B262" s="95">
        <f t="shared" ref="B262:R262" si="65">B206*$Y$5</f>
        <v>1.92</v>
      </c>
      <c r="C262" s="95">
        <f t="shared" si="65"/>
        <v>1.92</v>
      </c>
      <c r="D262" s="95">
        <f t="shared" si="65"/>
        <v>1.92</v>
      </c>
      <c r="E262" s="96">
        <f t="shared" si="65"/>
        <v>5.76</v>
      </c>
      <c r="F262" s="95">
        <f t="shared" si="65"/>
        <v>1.92</v>
      </c>
      <c r="G262" s="95">
        <f t="shared" si="65"/>
        <v>1.92</v>
      </c>
      <c r="H262" s="95">
        <f t="shared" si="65"/>
        <v>1.92</v>
      </c>
      <c r="I262" s="96">
        <f t="shared" si="65"/>
        <v>5.76</v>
      </c>
      <c r="J262" s="95">
        <f t="shared" si="65"/>
        <v>1.92</v>
      </c>
      <c r="K262" s="95">
        <f t="shared" si="65"/>
        <v>1.92</v>
      </c>
      <c r="L262" s="95">
        <f t="shared" si="65"/>
        <v>1.92</v>
      </c>
      <c r="M262" s="96">
        <f t="shared" si="65"/>
        <v>5.76</v>
      </c>
      <c r="N262" s="95">
        <f t="shared" si="65"/>
        <v>1.92</v>
      </c>
      <c r="O262" s="95">
        <f t="shared" si="65"/>
        <v>1.92</v>
      </c>
      <c r="P262" s="95">
        <f t="shared" si="65"/>
        <v>1.92</v>
      </c>
      <c r="Q262" s="96">
        <f t="shared" si="65"/>
        <v>5.76</v>
      </c>
      <c r="R262" s="96">
        <f t="shared" si="65"/>
        <v>23.04</v>
      </c>
    </row>
    <row r="263" spans="1:18">
      <c r="A263" s="98" t="s">
        <v>152</v>
      </c>
      <c r="B263" s="95">
        <f t="shared" ref="B263:R263" si="66">B206*$Y$13</f>
        <v>1.92</v>
      </c>
      <c r="C263" s="95">
        <f t="shared" si="66"/>
        <v>1.92</v>
      </c>
      <c r="D263" s="95">
        <f t="shared" si="66"/>
        <v>1.92</v>
      </c>
      <c r="E263" s="96">
        <f t="shared" si="66"/>
        <v>5.76</v>
      </c>
      <c r="F263" s="95">
        <f t="shared" si="66"/>
        <v>1.92</v>
      </c>
      <c r="G263" s="95">
        <f t="shared" si="66"/>
        <v>1.92</v>
      </c>
      <c r="H263" s="95">
        <f t="shared" si="66"/>
        <v>1.92</v>
      </c>
      <c r="I263" s="96">
        <f t="shared" si="66"/>
        <v>5.76</v>
      </c>
      <c r="J263" s="95">
        <f t="shared" si="66"/>
        <v>1.92</v>
      </c>
      <c r="K263" s="95">
        <f t="shared" si="66"/>
        <v>1.92</v>
      </c>
      <c r="L263" s="95">
        <f t="shared" si="66"/>
        <v>1.92</v>
      </c>
      <c r="M263" s="96">
        <f t="shared" si="66"/>
        <v>5.76</v>
      </c>
      <c r="N263" s="95">
        <f t="shared" si="66"/>
        <v>1.92</v>
      </c>
      <c r="O263" s="95">
        <f t="shared" si="66"/>
        <v>1.92</v>
      </c>
      <c r="P263" s="95">
        <f t="shared" si="66"/>
        <v>1.92</v>
      </c>
      <c r="Q263" s="96">
        <f t="shared" si="66"/>
        <v>5.76</v>
      </c>
      <c r="R263" s="96">
        <f t="shared" si="66"/>
        <v>23.04</v>
      </c>
    </row>
    <row r="264" spans="1:18">
      <c r="A264" s="98" t="s">
        <v>153</v>
      </c>
      <c r="B264" s="95">
        <f t="shared" ref="B264:R264" si="67">B206*$Y$21</f>
        <v>1.92</v>
      </c>
      <c r="C264" s="95">
        <f t="shared" si="67"/>
        <v>1.92</v>
      </c>
      <c r="D264" s="95">
        <f t="shared" si="67"/>
        <v>1.92</v>
      </c>
      <c r="E264" s="96">
        <f t="shared" si="67"/>
        <v>5.76</v>
      </c>
      <c r="F264" s="95">
        <f t="shared" si="67"/>
        <v>1.92</v>
      </c>
      <c r="G264" s="95">
        <f t="shared" si="67"/>
        <v>1.92</v>
      </c>
      <c r="H264" s="95">
        <f t="shared" si="67"/>
        <v>1.92</v>
      </c>
      <c r="I264" s="96">
        <f t="shared" si="67"/>
        <v>5.76</v>
      </c>
      <c r="J264" s="95">
        <f t="shared" si="67"/>
        <v>1.92</v>
      </c>
      <c r="K264" s="95">
        <f t="shared" si="67"/>
        <v>1.92</v>
      </c>
      <c r="L264" s="95">
        <f t="shared" si="67"/>
        <v>1.92</v>
      </c>
      <c r="M264" s="96">
        <f t="shared" si="67"/>
        <v>5.76</v>
      </c>
      <c r="N264" s="95">
        <f t="shared" si="67"/>
        <v>1.92</v>
      </c>
      <c r="O264" s="95">
        <f t="shared" si="67"/>
        <v>1.92</v>
      </c>
      <c r="P264" s="95">
        <f t="shared" si="67"/>
        <v>1.92</v>
      </c>
      <c r="Q264" s="96">
        <f t="shared" si="67"/>
        <v>5.76</v>
      </c>
      <c r="R264" s="96">
        <f t="shared" si="67"/>
        <v>23.04</v>
      </c>
    </row>
    <row r="265" spans="1:18">
      <c r="A265" s="98" t="s">
        <v>154</v>
      </c>
      <c r="B265" s="94">
        <f t="shared" ref="B265:R265" si="68">B206*$Y$30</f>
        <v>1.92</v>
      </c>
      <c r="C265" s="94">
        <f t="shared" si="68"/>
        <v>1.92</v>
      </c>
      <c r="D265" s="94">
        <f t="shared" si="68"/>
        <v>1.92</v>
      </c>
      <c r="E265" s="86">
        <f t="shared" si="68"/>
        <v>5.76</v>
      </c>
      <c r="F265" s="94">
        <f t="shared" si="68"/>
        <v>1.92</v>
      </c>
      <c r="G265" s="94">
        <f t="shared" si="68"/>
        <v>1.92</v>
      </c>
      <c r="H265" s="94">
        <f t="shared" si="68"/>
        <v>1.92</v>
      </c>
      <c r="I265" s="86">
        <f t="shared" si="68"/>
        <v>5.76</v>
      </c>
      <c r="J265" s="94">
        <f t="shared" si="68"/>
        <v>1.92</v>
      </c>
      <c r="K265" s="94">
        <f t="shared" si="68"/>
        <v>1.92</v>
      </c>
      <c r="L265" s="94">
        <f t="shared" si="68"/>
        <v>1.92</v>
      </c>
      <c r="M265" s="86">
        <f t="shared" si="68"/>
        <v>5.76</v>
      </c>
      <c r="N265" s="94">
        <f t="shared" si="68"/>
        <v>1.92</v>
      </c>
      <c r="O265" s="94">
        <f t="shared" si="68"/>
        <v>1.92</v>
      </c>
      <c r="P265" s="94">
        <f t="shared" si="68"/>
        <v>1.92</v>
      </c>
      <c r="Q265" s="86">
        <f t="shared" si="68"/>
        <v>5.76</v>
      </c>
      <c r="R265" s="86">
        <f t="shared" si="68"/>
        <v>23.04</v>
      </c>
    </row>
    <row r="266" spans="1:18">
      <c r="A266" s="96" t="s">
        <v>20</v>
      </c>
      <c r="B266" s="95"/>
      <c r="C266" s="95"/>
      <c r="D266" s="95"/>
      <c r="E266" s="96"/>
      <c r="F266" s="95"/>
      <c r="G266" s="95"/>
      <c r="H266" s="95"/>
      <c r="I266" s="96"/>
      <c r="J266" s="95"/>
      <c r="K266" s="95"/>
      <c r="L266" s="95"/>
      <c r="M266" s="96"/>
      <c r="N266" s="95"/>
      <c r="O266" s="95"/>
      <c r="P266" s="95"/>
      <c r="Q266" s="96"/>
      <c r="R266" s="96"/>
    </row>
    <row r="267" spans="1:18">
      <c r="A267" s="96" t="s">
        <v>101</v>
      </c>
      <c r="B267" s="86">
        <f t="shared" ref="B267:R267" si="69">B247+B252+B262+B257</f>
        <v>11.2</v>
      </c>
      <c r="C267" s="86">
        <f t="shared" si="69"/>
        <v>11.2</v>
      </c>
      <c r="D267" s="86">
        <f t="shared" si="69"/>
        <v>11.2</v>
      </c>
      <c r="E267" s="86">
        <f t="shared" si="69"/>
        <v>33.599999999999994</v>
      </c>
      <c r="F267" s="86">
        <f t="shared" si="69"/>
        <v>11.2</v>
      </c>
      <c r="G267" s="86">
        <f t="shared" si="69"/>
        <v>11.2</v>
      </c>
      <c r="H267" s="86">
        <f t="shared" si="69"/>
        <v>11.2</v>
      </c>
      <c r="I267" s="86">
        <f t="shared" si="69"/>
        <v>33.599999999999994</v>
      </c>
      <c r="J267" s="86">
        <f t="shared" si="69"/>
        <v>11.2</v>
      </c>
      <c r="K267" s="86">
        <f t="shared" si="69"/>
        <v>11.2</v>
      </c>
      <c r="L267" s="86">
        <f t="shared" si="69"/>
        <v>11.2</v>
      </c>
      <c r="M267" s="86">
        <f t="shared" si="69"/>
        <v>33.599999999999994</v>
      </c>
      <c r="N267" s="86">
        <f t="shared" si="69"/>
        <v>11.2</v>
      </c>
      <c r="O267" s="86">
        <f t="shared" si="69"/>
        <v>11.2</v>
      </c>
      <c r="P267" s="86">
        <f t="shared" si="69"/>
        <v>11.2</v>
      </c>
      <c r="Q267" s="86">
        <f t="shared" si="69"/>
        <v>33.599999999999994</v>
      </c>
      <c r="R267" s="86">
        <f t="shared" si="69"/>
        <v>134.39999999999998</v>
      </c>
    </row>
    <row r="268" spans="1:18">
      <c r="A268" s="96" t="s">
        <v>152</v>
      </c>
      <c r="B268" s="86">
        <f t="shared" ref="B268:R268" si="70">B248+B253+B258+B263</f>
        <v>9.7600000000000016</v>
      </c>
      <c r="C268" s="86">
        <f t="shared" si="70"/>
        <v>9.7600000000000016</v>
      </c>
      <c r="D268" s="86">
        <f t="shared" si="70"/>
        <v>9.7600000000000016</v>
      </c>
      <c r="E268" s="86">
        <f t="shared" si="70"/>
        <v>29.28</v>
      </c>
      <c r="F268" s="86">
        <f t="shared" si="70"/>
        <v>9.7600000000000016</v>
      </c>
      <c r="G268" s="86">
        <f t="shared" si="70"/>
        <v>9.7600000000000016</v>
      </c>
      <c r="H268" s="86">
        <f t="shared" si="70"/>
        <v>9.7600000000000016</v>
      </c>
      <c r="I268" s="86">
        <f t="shared" si="70"/>
        <v>29.28</v>
      </c>
      <c r="J268" s="86">
        <f t="shared" si="70"/>
        <v>9.7600000000000016</v>
      </c>
      <c r="K268" s="86">
        <f t="shared" si="70"/>
        <v>9.7600000000000016</v>
      </c>
      <c r="L268" s="86">
        <f t="shared" si="70"/>
        <v>9.7600000000000016</v>
      </c>
      <c r="M268" s="86">
        <f t="shared" si="70"/>
        <v>29.28</v>
      </c>
      <c r="N268" s="86">
        <f t="shared" si="70"/>
        <v>9.7600000000000016</v>
      </c>
      <c r="O268" s="86">
        <f t="shared" si="70"/>
        <v>9.7600000000000016</v>
      </c>
      <c r="P268" s="86">
        <f t="shared" si="70"/>
        <v>9.7600000000000016</v>
      </c>
      <c r="Q268" s="86">
        <f t="shared" si="70"/>
        <v>29.28</v>
      </c>
      <c r="R268" s="86">
        <f t="shared" si="70"/>
        <v>117.12</v>
      </c>
    </row>
    <row r="269" spans="1:18">
      <c r="A269" s="96" t="s">
        <v>153</v>
      </c>
      <c r="B269" s="86">
        <f t="shared" ref="B269:R269" si="71">B249+B254+B259+B264</f>
        <v>10.56</v>
      </c>
      <c r="C269" s="86">
        <f t="shared" si="71"/>
        <v>10.56</v>
      </c>
      <c r="D269" s="86">
        <f t="shared" si="71"/>
        <v>10.56</v>
      </c>
      <c r="E269" s="86">
        <f t="shared" si="71"/>
        <v>31.68</v>
      </c>
      <c r="F269" s="86">
        <f t="shared" si="71"/>
        <v>10.56</v>
      </c>
      <c r="G269" s="86">
        <f t="shared" si="71"/>
        <v>10.56</v>
      </c>
      <c r="H269" s="86">
        <f t="shared" si="71"/>
        <v>10.56</v>
      </c>
      <c r="I269" s="86">
        <f t="shared" si="71"/>
        <v>31.68</v>
      </c>
      <c r="J269" s="86">
        <f t="shared" si="71"/>
        <v>10.56</v>
      </c>
      <c r="K269" s="86">
        <f t="shared" si="71"/>
        <v>10.56</v>
      </c>
      <c r="L269" s="86">
        <f t="shared" si="71"/>
        <v>10.56</v>
      </c>
      <c r="M269" s="86">
        <f t="shared" si="71"/>
        <v>31.68</v>
      </c>
      <c r="N269" s="86">
        <f t="shared" si="71"/>
        <v>10.56</v>
      </c>
      <c r="O269" s="86">
        <f t="shared" si="71"/>
        <v>10.56</v>
      </c>
      <c r="P269" s="86">
        <f t="shared" si="71"/>
        <v>10.56</v>
      </c>
      <c r="Q269" s="86">
        <f t="shared" si="71"/>
        <v>31.68</v>
      </c>
      <c r="R269" s="86">
        <f t="shared" si="71"/>
        <v>126.72</v>
      </c>
    </row>
    <row r="270" spans="1:18">
      <c r="A270" s="96" t="s">
        <v>154</v>
      </c>
      <c r="B270" s="86">
        <f t="shared" ref="B270:R270" si="72">B250+B255+B260+B265</f>
        <v>11.2</v>
      </c>
      <c r="C270" s="86">
        <f t="shared" si="72"/>
        <v>11.2</v>
      </c>
      <c r="D270" s="86">
        <f t="shared" si="72"/>
        <v>11.2</v>
      </c>
      <c r="E270" s="86">
        <f t="shared" si="72"/>
        <v>33.6</v>
      </c>
      <c r="F270" s="86">
        <f t="shared" si="72"/>
        <v>11.2</v>
      </c>
      <c r="G270" s="86">
        <f t="shared" si="72"/>
        <v>11.2</v>
      </c>
      <c r="H270" s="86">
        <f t="shared" si="72"/>
        <v>11.2</v>
      </c>
      <c r="I270" s="86">
        <f t="shared" si="72"/>
        <v>33.6</v>
      </c>
      <c r="J270" s="86">
        <f t="shared" si="72"/>
        <v>11.2</v>
      </c>
      <c r="K270" s="86">
        <f t="shared" si="72"/>
        <v>11.2</v>
      </c>
      <c r="L270" s="86">
        <f t="shared" si="72"/>
        <v>11.2</v>
      </c>
      <c r="M270" s="86">
        <f t="shared" si="72"/>
        <v>33.6</v>
      </c>
      <c r="N270" s="86">
        <f t="shared" si="72"/>
        <v>11.2</v>
      </c>
      <c r="O270" s="86">
        <f t="shared" si="72"/>
        <v>11.2</v>
      </c>
      <c r="P270" s="86">
        <f t="shared" si="72"/>
        <v>11.2</v>
      </c>
      <c r="Q270" s="86">
        <f t="shared" si="72"/>
        <v>33.6</v>
      </c>
      <c r="R270" s="86">
        <f t="shared" si="72"/>
        <v>134.4</v>
      </c>
    </row>
    <row r="285" spans="1:25">
      <c r="A285" s="106" t="s">
        <v>155</v>
      </c>
      <c r="B285" s="169" t="s">
        <v>4</v>
      </c>
      <c r="C285" s="102" t="s">
        <v>5</v>
      </c>
      <c r="D285" s="102" t="s">
        <v>6</v>
      </c>
      <c r="E285" s="102" t="s">
        <v>7</v>
      </c>
      <c r="F285" s="102" t="s">
        <v>8</v>
      </c>
      <c r="G285" s="102" t="s">
        <v>9</v>
      </c>
      <c r="H285" s="102" t="s">
        <v>10</v>
      </c>
      <c r="I285" s="102" t="s">
        <v>11</v>
      </c>
      <c r="J285" s="102" t="s">
        <v>12</v>
      </c>
      <c r="K285" s="102" t="s">
        <v>67</v>
      </c>
      <c r="L285" s="102" t="s">
        <v>68</v>
      </c>
      <c r="M285" s="102" t="s">
        <v>15</v>
      </c>
      <c r="N285" s="102" t="s">
        <v>16</v>
      </c>
      <c r="O285" s="102" t="s">
        <v>17</v>
      </c>
      <c r="P285" s="102" t="s">
        <v>18</v>
      </c>
      <c r="Q285" s="102" t="s">
        <v>69</v>
      </c>
      <c r="R285" s="102" t="s">
        <v>44</v>
      </c>
      <c r="U285" s="156" t="s">
        <v>156</v>
      </c>
      <c r="V285" s="156"/>
      <c r="W285" s="156"/>
      <c r="X285" s="156"/>
      <c r="Y285" s="156"/>
    </row>
    <row r="286" spans="1:25">
      <c r="A286" s="110" t="s">
        <v>3</v>
      </c>
      <c r="B286" s="102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U286" s="108"/>
      <c r="V286" s="108"/>
      <c r="W286" s="108"/>
      <c r="X286" s="108"/>
      <c r="Y286" s="108"/>
    </row>
    <row r="287" spans="1:25">
      <c r="A287" s="86" t="s">
        <v>123</v>
      </c>
      <c r="B287" s="161">
        <v>8</v>
      </c>
      <c r="C287" s="161">
        <v>8</v>
      </c>
      <c r="D287" s="161">
        <v>8</v>
      </c>
      <c r="E287" s="107">
        <v>8</v>
      </c>
      <c r="F287" s="161">
        <v>8</v>
      </c>
      <c r="G287" s="161">
        <v>8</v>
      </c>
      <c r="H287" s="161">
        <v>8</v>
      </c>
      <c r="I287" s="107">
        <v>8</v>
      </c>
      <c r="J287" s="161">
        <v>8</v>
      </c>
      <c r="K287" s="161">
        <v>8</v>
      </c>
      <c r="L287" s="161">
        <v>8</v>
      </c>
      <c r="M287" s="107">
        <v>8</v>
      </c>
      <c r="N287" s="161">
        <v>8</v>
      </c>
      <c r="O287" s="161">
        <v>8</v>
      </c>
      <c r="P287" s="161">
        <v>8</v>
      </c>
      <c r="Q287" s="107">
        <v>8</v>
      </c>
      <c r="R287" s="107">
        <v>8</v>
      </c>
      <c r="U287" s="172" t="s">
        <v>3</v>
      </c>
      <c r="V287" s="157" t="s">
        <v>157</v>
      </c>
      <c r="W287" s="157" t="s">
        <v>158</v>
      </c>
      <c r="X287" s="157" t="s">
        <v>159</v>
      </c>
      <c r="Y287" s="157" t="s">
        <v>160</v>
      </c>
    </row>
    <row r="288" spans="1:25">
      <c r="A288" s="86" t="s">
        <v>124</v>
      </c>
      <c r="B288" s="161">
        <v>21</v>
      </c>
      <c r="C288" s="162">
        <v>21</v>
      </c>
      <c r="D288" s="162">
        <v>21</v>
      </c>
      <c r="E288" s="108">
        <f>SUM(B288:D288)</f>
        <v>63</v>
      </c>
      <c r="F288" s="162">
        <v>21</v>
      </c>
      <c r="G288" s="162">
        <v>21</v>
      </c>
      <c r="H288" s="162">
        <v>21</v>
      </c>
      <c r="I288" s="108">
        <f>SUM(F288:H288)</f>
        <v>63</v>
      </c>
      <c r="J288" s="162">
        <v>21</v>
      </c>
      <c r="K288" s="162">
        <v>21</v>
      </c>
      <c r="L288" s="162">
        <v>21</v>
      </c>
      <c r="M288" s="108">
        <f>SUM(J288:L288)</f>
        <v>63</v>
      </c>
      <c r="N288" s="162">
        <v>21</v>
      </c>
      <c r="O288" s="162">
        <v>21</v>
      </c>
      <c r="P288" s="162">
        <v>21</v>
      </c>
      <c r="Q288" s="108">
        <f>SUM(N288:P288)</f>
        <v>63</v>
      </c>
      <c r="R288" s="108">
        <f>SUM(E288+I288+M288+Q288)</f>
        <v>252</v>
      </c>
      <c r="U288" s="165" t="s">
        <v>161</v>
      </c>
      <c r="V288" s="108"/>
      <c r="W288" s="108"/>
      <c r="X288" s="108"/>
      <c r="Y288" s="108"/>
    </row>
    <row r="289" spans="1:25">
      <c r="A289" s="141" t="s">
        <v>125</v>
      </c>
      <c r="B289" s="162"/>
      <c r="C289" s="163"/>
      <c r="D289" s="163"/>
      <c r="E289" s="109"/>
      <c r="F289" s="163"/>
      <c r="G289" s="163"/>
      <c r="H289" s="163"/>
      <c r="I289" s="109"/>
      <c r="J289" s="163"/>
      <c r="K289" s="163"/>
      <c r="L289" s="163"/>
      <c r="M289" s="109"/>
      <c r="N289" s="163"/>
      <c r="O289" s="163"/>
      <c r="P289" s="163"/>
      <c r="Q289" s="109"/>
      <c r="R289" s="109"/>
      <c r="U289" s="161" t="s">
        <v>162</v>
      </c>
      <c r="V289" s="161">
        <v>110000</v>
      </c>
      <c r="W289" s="161">
        <v>10</v>
      </c>
      <c r="X289" s="161">
        <v>2000</v>
      </c>
      <c r="Y289" s="107">
        <f>IF(W289=0,0,(V289-X289)/W289)</f>
        <v>10800</v>
      </c>
    </row>
    <row r="290" spans="1:25">
      <c r="A290" s="149" t="s">
        <v>163</v>
      </c>
      <c r="B290" s="163">
        <v>8</v>
      </c>
      <c r="C290" s="163">
        <v>8</v>
      </c>
      <c r="D290" s="163">
        <v>8</v>
      </c>
      <c r="E290" s="109">
        <v>8</v>
      </c>
      <c r="F290" s="163">
        <v>8</v>
      </c>
      <c r="G290" s="163">
        <v>8</v>
      </c>
      <c r="H290" s="163">
        <v>8</v>
      </c>
      <c r="I290" s="109">
        <v>8</v>
      </c>
      <c r="J290" s="163">
        <v>8</v>
      </c>
      <c r="K290" s="163">
        <v>8</v>
      </c>
      <c r="L290" s="163">
        <v>8</v>
      </c>
      <c r="M290" s="109">
        <v>8</v>
      </c>
      <c r="N290" s="163">
        <v>8</v>
      </c>
      <c r="O290" s="163">
        <v>8</v>
      </c>
      <c r="P290" s="163">
        <v>8</v>
      </c>
      <c r="Q290" s="109">
        <v>8</v>
      </c>
      <c r="R290" s="108">
        <v>8</v>
      </c>
      <c r="U290" s="162" t="s">
        <v>164</v>
      </c>
      <c r="V290" s="162">
        <v>13000</v>
      </c>
      <c r="W290" s="162">
        <v>10</v>
      </c>
      <c r="X290" s="162">
        <v>800</v>
      </c>
      <c r="Y290" s="107">
        <f>IF(W290=0,0,(V290-X290)/W290)</f>
        <v>1220</v>
      </c>
    </row>
    <row r="291" spans="1:25">
      <c r="A291" s="149" t="s">
        <v>129</v>
      </c>
      <c r="B291" s="162">
        <v>2</v>
      </c>
      <c r="C291" s="162">
        <v>2</v>
      </c>
      <c r="D291" s="162">
        <v>2</v>
      </c>
      <c r="E291" s="109">
        <v>2</v>
      </c>
      <c r="F291" s="162">
        <v>2</v>
      </c>
      <c r="G291" s="162">
        <v>2</v>
      </c>
      <c r="H291" s="162">
        <v>2</v>
      </c>
      <c r="I291" s="108">
        <v>2</v>
      </c>
      <c r="J291" s="162">
        <v>2</v>
      </c>
      <c r="K291" s="162">
        <v>2</v>
      </c>
      <c r="L291" s="162">
        <v>2</v>
      </c>
      <c r="M291" s="108">
        <v>2</v>
      </c>
      <c r="N291" s="162">
        <v>2</v>
      </c>
      <c r="O291" s="162">
        <v>2</v>
      </c>
      <c r="P291" s="162">
        <v>2</v>
      </c>
      <c r="Q291" s="108">
        <v>2</v>
      </c>
      <c r="R291" s="108">
        <v>2</v>
      </c>
      <c r="U291" s="162" t="s">
        <v>165</v>
      </c>
      <c r="V291" s="162">
        <v>100000</v>
      </c>
      <c r="W291" s="162">
        <v>10</v>
      </c>
      <c r="X291" s="162">
        <v>3500</v>
      </c>
      <c r="Y291" s="107">
        <f>IF(W291=0,0,(V291-X291)/W291)</f>
        <v>9650</v>
      </c>
    </row>
    <row r="292" spans="1:25">
      <c r="A292" s="149" t="s">
        <v>166</v>
      </c>
      <c r="B292" s="161">
        <v>0</v>
      </c>
      <c r="C292" s="162">
        <v>0</v>
      </c>
      <c r="D292" s="162">
        <v>0</v>
      </c>
      <c r="E292" s="108">
        <v>0</v>
      </c>
      <c r="F292" s="162">
        <v>0</v>
      </c>
      <c r="G292" s="162">
        <v>0</v>
      </c>
      <c r="H292" s="162">
        <v>0</v>
      </c>
      <c r="I292" s="108">
        <v>0</v>
      </c>
      <c r="J292" s="162">
        <v>0</v>
      </c>
      <c r="K292" s="162">
        <v>0</v>
      </c>
      <c r="L292" s="162">
        <v>0</v>
      </c>
      <c r="M292" s="108">
        <v>0</v>
      </c>
      <c r="N292" s="162">
        <v>0</v>
      </c>
      <c r="O292" s="162">
        <v>0</v>
      </c>
      <c r="P292" s="162">
        <v>0</v>
      </c>
      <c r="Q292" s="108">
        <v>0</v>
      </c>
      <c r="R292" s="107">
        <v>0</v>
      </c>
      <c r="U292" s="161" t="s">
        <v>167</v>
      </c>
      <c r="V292" s="161">
        <v>210000</v>
      </c>
      <c r="W292" s="161">
        <v>10</v>
      </c>
      <c r="X292" s="161">
        <v>10600</v>
      </c>
      <c r="Y292" s="107">
        <f>IF(W292=0,0,(V292-X292)/W292)</f>
        <v>19940</v>
      </c>
    </row>
    <row r="293" spans="1:25">
      <c r="A293" s="86" t="s">
        <v>133</v>
      </c>
      <c r="B293" s="108">
        <f>B287*B288*B290*B291</f>
        <v>2688</v>
      </c>
      <c r="C293" s="108">
        <f>C287*C288*C290*C291</f>
        <v>2688</v>
      </c>
      <c r="D293" s="108">
        <f>D287*D288*D290*D291</f>
        <v>2688</v>
      </c>
      <c r="E293" s="108">
        <f>SUM(B293:D293)</f>
        <v>8064</v>
      </c>
      <c r="F293" s="108">
        <f>F287*F288*F290*F291</f>
        <v>2688</v>
      </c>
      <c r="G293" s="108">
        <f>G287*G288*G290*G291</f>
        <v>2688</v>
      </c>
      <c r="H293" s="108">
        <f>H287*H288*H290*H291</f>
        <v>2688</v>
      </c>
      <c r="I293" s="108">
        <f>SUM(F293:H293)</f>
        <v>8064</v>
      </c>
      <c r="J293" s="108">
        <f>J287*J288*J290*J291</f>
        <v>2688</v>
      </c>
      <c r="K293" s="108">
        <f>K287*K288*K290*K291</f>
        <v>2688</v>
      </c>
      <c r="L293" s="108">
        <f>L287*L288*L290*L291</f>
        <v>2688</v>
      </c>
      <c r="M293" s="108">
        <f>SUM(J293:L293)</f>
        <v>8064</v>
      </c>
      <c r="N293" s="108">
        <f>N287*N288*N290*N291</f>
        <v>2688</v>
      </c>
      <c r="O293" s="108">
        <f>O287*O288*O290*O291</f>
        <v>2688</v>
      </c>
      <c r="P293" s="108">
        <f>P287*P288*P290*P291</f>
        <v>2688</v>
      </c>
      <c r="Q293" s="108">
        <f>SUM(N293:P293)</f>
        <v>8064</v>
      </c>
      <c r="R293" s="108">
        <f>SUM(E293+I293+M293+Q293)</f>
        <v>32256</v>
      </c>
      <c r="U293" s="108"/>
      <c r="V293" s="167"/>
      <c r="W293" s="167"/>
      <c r="X293" s="167"/>
      <c r="Y293" s="108"/>
    </row>
    <row r="294" spans="1:25">
      <c r="A294" s="149" t="s">
        <v>168</v>
      </c>
      <c r="B294" s="162">
        <v>0</v>
      </c>
      <c r="C294" s="162">
        <v>0</v>
      </c>
      <c r="D294" s="162">
        <v>0</v>
      </c>
      <c r="E294" s="108">
        <v>0</v>
      </c>
      <c r="F294" s="162">
        <v>0</v>
      </c>
      <c r="G294" s="162">
        <v>0</v>
      </c>
      <c r="H294" s="162">
        <v>0</v>
      </c>
      <c r="I294" s="108">
        <v>0</v>
      </c>
      <c r="J294" s="162">
        <v>0</v>
      </c>
      <c r="K294" s="162">
        <v>0</v>
      </c>
      <c r="L294" s="162">
        <v>0</v>
      </c>
      <c r="M294" s="108">
        <v>0</v>
      </c>
      <c r="N294" s="162">
        <v>0</v>
      </c>
      <c r="O294" s="162">
        <v>0</v>
      </c>
      <c r="P294" s="162">
        <v>0</v>
      </c>
      <c r="Q294" s="108">
        <v>0</v>
      </c>
      <c r="R294" s="108">
        <v>0</v>
      </c>
      <c r="U294" s="158"/>
      <c r="V294" s="161"/>
      <c r="W294" s="161"/>
      <c r="X294" s="161"/>
      <c r="Y294" s="107"/>
    </row>
    <row r="295" spans="1:25">
      <c r="A295" s="149" t="s">
        <v>169</v>
      </c>
      <c r="B295" s="162">
        <v>0</v>
      </c>
      <c r="C295" s="162">
        <v>0</v>
      </c>
      <c r="D295" s="162">
        <v>0</v>
      </c>
      <c r="E295" s="108">
        <v>0</v>
      </c>
      <c r="F295" s="162">
        <v>0</v>
      </c>
      <c r="G295" s="162">
        <v>0</v>
      </c>
      <c r="H295" s="162">
        <v>0</v>
      </c>
      <c r="I295" s="108">
        <v>0</v>
      </c>
      <c r="J295" s="162">
        <v>0</v>
      </c>
      <c r="K295" s="162">
        <v>0</v>
      </c>
      <c r="L295" s="162">
        <v>0</v>
      </c>
      <c r="M295" s="108">
        <v>0</v>
      </c>
      <c r="N295" s="162">
        <v>0</v>
      </c>
      <c r="O295" s="162">
        <v>0</v>
      </c>
      <c r="P295" s="162">
        <v>0</v>
      </c>
      <c r="Q295" s="108">
        <v>0</v>
      </c>
      <c r="R295" s="108">
        <v>0</v>
      </c>
      <c r="U295" s="99"/>
      <c r="V295" s="154"/>
      <c r="W295" s="154"/>
      <c r="X295" s="154"/>
      <c r="Y295" s="155"/>
    </row>
    <row r="296" spans="1:25">
      <c r="A296" s="149" t="s">
        <v>170</v>
      </c>
      <c r="B296" s="162">
        <f>B27*$V$6</f>
        <v>859.92000000000007</v>
      </c>
      <c r="C296" s="162">
        <f>C27*$V$6</f>
        <v>767.2</v>
      </c>
      <c r="D296" s="162">
        <f>D27*$V$6</f>
        <v>834.80000000000007</v>
      </c>
      <c r="E296" s="108">
        <f t="shared" ref="E296:E301" si="73">SUM(B296:D296)</f>
        <v>2461.92</v>
      </c>
      <c r="F296" s="162">
        <f>F27*$V$6</f>
        <v>867.6</v>
      </c>
      <c r="G296" s="162">
        <f>G27*$V$6</f>
        <v>991.56000000000006</v>
      </c>
      <c r="H296" s="162">
        <f>H27*$V$6</f>
        <v>997.16</v>
      </c>
      <c r="I296" s="108">
        <f>SUM(F296:H296)</f>
        <v>2856.32</v>
      </c>
      <c r="J296" s="162">
        <f>J27*$V$6</f>
        <v>1006.44</v>
      </c>
      <c r="K296" s="162">
        <f>K27*$V$6</f>
        <v>964.28</v>
      </c>
      <c r="L296" s="162">
        <f>L27*$V$6</f>
        <v>920.24</v>
      </c>
      <c r="M296" s="108">
        <f t="shared" ref="M296:M301" si="74">SUM(J296:L296)</f>
        <v>2890.96</v>
      </c>
      <c r="N296" s="162">
        <f>N27*$V$6</f>
        <v>853.88</v>
      </c>
      <c r="O296" s="162">
        <f>O27*$V$6</f>
        <v>732.52</v>
      </c>
      <c r="P296" s="162">
        <f>P27*$V$6</f>
        <v>716.32</v>
      </c>
      <c r="Q296" s="108">
        <f t="shared" ref="Q296:Q301" si="75">SUM(N296:P296)</f>
        <v>2302.7200000000003</v>
      </c>
      <c r="R296" s="108">
        <f t="shared" ref="R296:R301" si="76">SUM(E296+I296+M296+Q296)</f>
        <v>10511.920000000002</v>
      </c>
      <c r="U296" s="166" t="s">
        <v>171</v>
      </c>
      <c r="V296" s="162"/>
      <c r="W296" s="162"/>
      <c r="X296" s="162"/>
      <c r="Y296" s="107"/>
    </row>
    <row r="297" spans="1:25">
      <c r="A297" s="149" t="s">
        <v>172</v>
      </c>
      <c r="B297" s="162">
        <f>B28*$V$14</f>
        <v>611.52</v>
      </c>
      <c r="C297" s="162">
        <f>C28*$V$14</f>
        <v>555.6</v>
      </c>
      <c r="D297" s="162">
        <f>D28*$V$14</f>
        <v>654.96</v>
      </c>
      <c r="E297" s="108">
        <f t="shared" si="73"/>
        <v>1822.08</v>
      </c>
      <c r="F297" s="162">
        <f>F28*$V$14</f>
        <v>694.64</v>
      </c>
      <c r="G297" s="162">
        <f>G28*$V$14</f>
        <v>689.44</v>
      </c>
      <c r="H297" s="162">
        <f>H28*$V$14</f>
        <v>745.76</v>
      </c>
      <c r="I297" s="108">
        <f>SUM(F297:H297)</f>
        <v>2129.84</v>
      </c>
      <c r="J297" s="162">
        <f>J28*$V$14</f>
        <v>306.40000000000003</v>
      </c>
      <c r="K297" s="162">
        <f>K28*$V$14</f>
        <v>651.20000000000005</v>
      </c>
      <c r="L297" s="162">
        <f>L28*$V$14</f>
        <v>684.88</v>
      </c>
      <c r="M297" s="108">
        <f t="shared" si="74"/>
        <v>1642.48</v>
      </c>
      <c r="N297" s="162">
        <f>N28*$V$14</f>
        <v>621.68000000000006</v>
      </c>
      <c r="O297" s="162">
        <f>O28*$V$14</f>
        <v>608.4</v>
      </c>
      <c r="P297" s="162">
        <f>P28*$V$14</f>
        <v>556.64</v>
      </c>
      <c r="Q297" s="108">
        <f t="shared" si="75"/>
        <v>1786.7199999999998</v>
      </c>
      <c r="R297" s="108">
        <f t="shared" si="76"/>
        <v>7381.119999999999</v>
      </c>
      <c r="U297" s="161" t="s">
        <v>173</v>
      </c>
      <c r="V297" s="164" t="s">
        <v>157</v>
      </c>
      <c r="W297" s="107" t="s">
        <v>174</v>
      </c>
      <c r="X297" s="107" t="s">
        <v>159</v>
      </c>
      <c r="Y297" s="107"/>
    </row>
    <row r="298" spans="1:25">
      <c r="A298" s="149" t="s">
        <v>175</v>
      </c>
      <c r="B298" s="162">
        <f>B29*$V$22</f>
        <v>175.92000000000002</v>
      </c>
      <c r="C298" s="162">
        <f>C29*$V$22</f>
        <v>164</v>
      </c>
      <c r="D298" s="162">
        <f>D29*$V$22</f>
        <v>206.8</v>
      </c>
      <c r="E298" s="108">
        <f t="shared" si="73"/>
        <v>546.72</v>
      </c>
      <c r="F298" s="162">
        <f>F29*$V$22</f>
        <v>256.64</v>
      </c>
      <c r="G298" s="162">
        <f>G29*$V$22</f>
        <v>309.76</v>
      </c>
      <c r="H298" s="162">
        <f>H29*$V$22</f>
        <v>327.2</v>
      </c>
      <c r="I298" s="108">
        <f>SUM(F298:H298)</f>
        <v>893.59999999999991</v>
      </c>
      <c r="J298" s="162">
        <f>J29*$V$22</f>
        <v>312.60000000000002</v>
      </c>
      <c r="K298" s="162">
        <f>K29*$V$22</f>
        <v>323</v>
      </c>
      <c r="L298" s="162">
        <f>L29*$V$22</f>
        <v>314</v>
      </c>
      <c r="M298" s="108">
        <f t="shared" si="74"/>
        <v>949.6</v>
      </c>
      <c r="N298" s="162">
        <f>N29*$V$22</f>
        <v>249.92000000000002</v>
      </c>
      <c r="O298" s="162">
        <f>O29*$V$22</f>
        <v>225.04</v>
      </c>
      <c r="P298" s="162">
        <f>P29*$V$22</f>
        <v>160.64000000000001</v>
      </c>
      <c r="Q298" s="108">
        <f t="shared" si="75"/>
        <v>635.6</v>
      </c>
      <c r="R298" s="108">
        <f t="shared" si="76"/>
        <v>3025.52</v>
      </c>
      <c r="U298" s="162" t="s">
        <v>162</v>
      </c>
      <c r="V298" s="162">
        <v>250000</v>
      </c>
      <c r="W298" s="162">
        <v>25</v>
      </c>
      <c r="X298" s="163" t="s">
        <v>176</v>
      </c>
      <c r="Y298" s="168" t="e">
        <f>IF(W298=0,0,(V298-X298)/W298)</f>
        <v>#VALUE!</v>
      </c>
    </row>
    <row r="299" spans="1:25">
      <c r="A299" s="149" t="s">
        <v>177</v>
      </c>
      <c r="B299" s="162">
        <f>B30*$V$31</f>
        <v>53.76</v>
      </c>
      <c r="C299" s="162">
        <f>C30*$V$31</f>
        <v>51.76</v>
      </c>
      <c r="D299" s="162">
        <f>D30*$V$31</f>
        <v>63.52</v>
      </c>
      <c r="E299" s="108">
        <f t="shared" si="73"/>
        <v>169.04</v>
      </c>
      <c r="F299" s="162">
        <f>F30*$V$31</f>
        <v>81.552000000000007</v>
      </c>
      <c r="G299" s="162">
        <f>G30*$V$31</f>
        <v>114.048</v>
      </c>
      <c r="H299" s="162">
        <f>H30*$V$31</f>
        <v>104.64</v>
      </c>
      <c r="I299" s="108">
        <f>SUM(F299:H299)</f>
        <v>300.24</v>
      </c>
      <c r="J299" s="162">
        <f>J30*$V$31</f>
        <v>49.84</v>
      </c>
      <c r="K299" s="162">
        <f>K30*$V$31</f>
        <v>50.72</v>
      </c>
      <c r="L299" s="162">
        <f>L30*$V$31</f>
        <v>44.800000000000004</v>
      </c>
      <c r="M299" s="108">
        <f t="shared" si="74"/>
        <v>145.36000000000001</v>
      </c>
      <c r="N299" s="162">
        <f>N30*$V$31</f>
        <v>39.68</v>
      </c>
      <c r="O299" s="162">
        <f>O30*$V$31</f>
        <v>35.119999999999997</v>
      </c>
      <c r="P299" s="162">
        <f>P30*$V$31</f>
        <v>39.28</v>
      </c>
      <c r="Q299" s="108">
        <f t="shared" si="75"/>
        <v>114.08</v>
      </c>
      <c r="R299" s="108">
        <f t="shared" si="76"/>
        <v>728.72</v>
      </c>
      <c r="U299" s="162" t="s">
        <v>164</v>
      </c>
      <c r="V299" s="162">
        <v>300000</v>
      </c>
      <c r="W299" s="162">
        <v>25</v>
      </c>
      <c r="X299" s="163" t="s">
        <v>176</v>
      </c>
      <c r="Y299" s="107" t="e">
        <f t="shared" ref="Y299:Y301" si="77">IF(W299=0,0,(V299-X299)/W299)</f>
        <v>#VALUE!</v>
      </c>
    </row>
    <row r="300" spans="1:25">
      <c r="A300" s="86" t="s">
        <v>138</v>
      </c>
      <c r="B300" s="108">
        <f>SUM(B296:B299)</f>
        <v>1701.1200000000001</v>
      </c>
      <c r="C300" s="108">
        <f>SUM(C296:C299)</f>
        <v>1538.5600000000002</v>
      </c>
      <c r="D300" s="108">
        <f>SUM(D296:D299)</f>
        <v>1760.0800000000002</v>
      </c>
      <c r="E300" s="108">
        <f t="shared" si="73"/>
        <v>4999.76</v>
      </c>
      <c r="F300" s="108">
        <f t="shared" ref="F300:L300" si="78">SUM(F296:F299)</f>
        <v>1900.432</v>
      </c>
      <c r="G300" s="108">
        <f t="shared" si="78"/>
        <v>2104.808</v>
      </c>
      <c r="H300" s="108">
        <f t="shared" si="78"/>
        <v>2174.7599999999998</v>
      </c>
      <c r="I300" s="108">
        <f t="shared" si="78"/>
        <v>6180</v>
      </c>
      <c r="J300" s="108">
        <f t="shared" si="78"/>
        <v>1675.28</v>
      </c>
      <c r="K300" s="108">
        <f t="shared" si="78"/>
        <v>1989.2</v>
      </c>
      <c r="L300" s="108">
        <f t="shared" si="78"/>
        <v>1963.9199999999998</v>
      </c>
      <c r="M300" s="108">
        <f t="shared" si="74"/>
        <v>5628.4</v>
      </c>
      <c r="N300" s="108">
        <f>SUM(N296:N299)</f>
        <v>1765.16</v>
      </c>
      <c r="O300" s="108">
        <f>SUM(O296:O299)</f>
        <v>1601.08</v>
      </c>
      <c r="P300" s="108">
        <f>SUM(P296:P299)</f>
        <v>1472.88</v>
      </c>
      <c r="Q300" s="108">
        <f t="shared" si="75"/>
        <v>4839.12</v>
      </c>
      <c r="R300" s="108">
        <f t="shared" si="76"/>
        <v>21647.279999999999</v>
      </c>
      <c r="U300" s="162" t="s">
        <v>165</v>
      </c>
      <c r="V300" s="162">
        <v>450000</v>
      </c>
      <c r="W300" s="162">
        <v>25</v>
      </c>
      <c r="X300" s="163" t="s">
        <v>176</v>
      </c>
      <c r="Y300" s="107" t="e">
        <f t="shared" si="77"/>
        <v>#VALUE!</v>
      </c>
    </row>
    <row r="301" spans="1:25">
      <c r="A301" s="86" t="s">
        <v>139</v>
      </c>
      <c r="B301" s="108">
        <f>SUM(B300-B293)</f>
        <v>-986.87999999999988</v>
      </c>
      <c r="C301" s="108">
        <f>SUM(C300-C293)</f>
        <v>-1149.4399999999998</v>
      </c>
      <c r="D301" s="108">
        <f>SUM(D300-D293)</f>
        <v>-927.91999999999985</v>
      </c>
      <c r="E301" s="108">
        <f t="shared" si="73"/>
        <v>-3064.24</v>
      </c>
      <c r="F301" s="108">
        <f>SUM(F300-F293)</f>
        <v>-787.56799999999998</v>
      </c>
      <c r="G301" s="108">
        <f>SUM(G300-G293)</f>
        <v>-583.19200000000001</v>
      </c>
      <c r="H301" s="108">
        <f>SUM(H300-H293)</f>
        <v>-513.24000000000024</v>
      </c>
      <c r="I301" s="108">
        <f>SUM(F301:H301)</f>
        <v>-1884.0000000000002</v>
      </c>
      <c r="J301" s="108">
        <f>SUM(J300-J293)</f>
        <v>-1012.72</v>
      </c>
      <c r="K301" s="108">
        <f>SUM(K300-K293)</f>
        <v>-698.8</v>
      </c>
      <c r="L301" s="108">
        <f>SUM(L300-L293)</f>
        <v>-724.08000000000015</v>
      </c>
      <c r="M301" s="108">
        <f t="shared" si="74"/>
        <v>-2435.6000000000004</v>
      </c>
      <c r="N301" s="108">
        <f>SUM(N300-N293)</f>
        <v>-922.83999999999992</v>
      </c>
      <c r="O301" s="108">
        <f>SUM(O300-O293)</f>
        <v>-1086.92</v>
      </c>
      <c r="P301" s="108">
        <f>SUM(P300-P293)</f>
        <v>-1215.1199999999999</v>
      </c>
      <c r="Q301" s="108">
        <f t="shared" si="75"/>
        <v>-3224.88</v>
      </c>
      <c r="R301" s="108">
        <f t="shared" si="76"/>
        <v>-10608.720000000001</v>
      </c>
      <c r="U301" s="162" t="s">
        <v>167</v>
      </c>
      <c r="V301" s="162">
        <v>300000</v>
      </c>
      <c r="W301" s="162">
        <v>25</v>
      </c>
      <c r="X301" s="163" t="s">
        <v>176</v>
      </c>
      <c r="Y301" s="107" t="e">
        <f t="shared" si="77"/>
        <v>#VALUE!</v>
      </c>
    </row>
    <row r="302" spans="1:25">
      <c r="A302" s="141" t="s">
        <v>140</v>
      </c>
      <c r="B302" s="162"/>
      <c r="C302" s="162"/>
      <c r="D302" s="162"/>
      <c r="E302" s="108"/>
      <c r="F302" s="162"/>
      <c r="G302" s="162"/>
      <c r="H302" s="162"/>
      <c r="I302" s="108"/>
      <c r="J302" s="162"/>
      <c r="K302" s="162"/>
      <c r="L302" s="162"/>
      <c r="M302" s="108"/>
      <c r="N302" s="162"/>
      <c r="O302" s="162"/>
      <c r="P302" s="162"/>
      <c r="Q302" s="108"/>
      <c r="R302" s="108"/>
      <c r="U302" s="162"/>
      <c r="V302" s="162"/>
      <c r="W302" s="162"/>
      <c r="X302" s="163"/>
      <c r="Y302" s="107"/>
    </row>
    <row r="303" spans="1:25">
      <c r="A303" s="149" t="s">
        <v>163</v>
      </c>
      <c r="B303" s="162">
        <v>39</v>
      </c>
      <c r="C303" s="162">
        <v>39</v>
      </c>
      <c r="D303" s="162">
        <v>39</v>
      </c>
      <c r="E303" s="108">
        <v>39</v>
      </c>
      <c r="F303" s="162">
        <v>39</v>
      </c>
      <c r="G303" s="162">
        <v>39</v>
      </c>
      <c r="H303" s="162">
        <v>39</v>
      </c>
      <c r="I303" s="108">
        <v>39</v>
      </c>
      <c r="J303" s="162">
        <v>39</v>
      </c>
      <c r="K303" s="162">
        <v>39</v>
      </c>
      <c r="L303" s="162">
        <v>39</v>
      </c>
      <c r="M303" s="108">
        <v>39</v>
      </c>
      <c r="N303" s="162">
        <v>39</v>
      </c>
      <c r="O303" s="162">
        <v>39</v>
      </c>
      <c r="P303" s="162">
        <v>39</v>
      </c>
      <c r="Q303" s="108">
        <v>39</v>
      </c>
      <c r="R303" s="108">
        <v>39</v>
      </c>
      <c r="U303" s="162"/>
      <c r="V303" s="162"/>
      <c r="W303" s="162"/>
      <c r="X303" s="163"/>
      <c r="Y303" s="108"/>
    </row>
    <row r="304" spans="1:25">
      <c r="A304" s="149" t="s">
        <v>129</v>
      </c>
      <c r="B304" s="162">
        <v>2</v>
      </c>
      <c r="C304" s="162">
        <v>2</v>
      </c>
      <c r="D304" s="162">
        <v>2</v>
      </c>
      <c r="E304" s="108">
        <v>2</v>
      </c>
      <c r="F304" s="162">
        <v>2</v>
      </c>
      <c r="G304" s="162">
        <v>2</v>
      </c>
      <c r="H304" s="162">
        <v>2</v>
      </c>
      <c r="I304" s="108">
        <v>2</v>
      </c>
      <c r="J304" s="162">
        <v>2</v>
      </c>
      <c r="K304" s="162">
        <v>2</v>
      </c>
      <c r="L304" s="162">
        <v>2</v>
      </c>
      <c r="M304" s="108">
        <v>2</v>
      </c>
      <c r="N304" s="162">
        <v>2</v>
      </c>
      <c r="O304" s="162">
        <v>2</v>
      </c>
      <c r="P304" s="162">
        <v>2</v>
      </c>
      <c r="Q304" s="108">
        <v>2</v>
      </c>
      <c r="R304" s="108">
        <v>2</v>
      </c>
      <c r="U304" s="162"/>
      <c r="V304" s="162"/>
      <c r="W304" s="162"/>
      <c r="X304" s="163"/>
      <c r="Y304" s="108"/>
    </row>
    <row r="305" spans="1:25">
      <c r="A305" s="149" t="s">
        <v>166</v>
      </c>
      <c r="B305" s="162">
        <v>0</v>
      </c>
      <c r="C305" s="162">
        <v>0</v>
      </c>
      <c r="D305" s="162">
        <v>0</v>
      </c>
      <c r="E305" s="108">
        <v>0</v>
      </c>
      <c r="F305" s="162">
        <v>0</v>
      </c>
      <c r="G305" s="162">
        <v>0</v>
      </c>
      <c r="H305" s="162">
        <v>0</v>
      </c>
      <c r="I305" s="108">
        <v>0</v>
      </c>
      <c r="J305" s="162">
        <v>0</v>
      </c>
      <c r="K305" s="162">
        <v>0</v>
      </c>
      <c r="L305" s="162">
        <v>0</v>
      </c>
      <c r="M305" s="108">
        <v>0</v>
      </c>
      <c r="N305" s="162">
        <v>0</v>
      </c>
      <c r="O305" s="162">
        <v>0</v>
      </c>
      <c r="P305" s="162">
        <v>0</v>
      </c>
      <c r="Q305" s="108">
        <v>0</v>
      </c>
      <c r="R305" s="108">
        <v>0</v>
      </c>
      <c r="U305" s="158"/>
      <c r="V305" s="108"/>
      <c r="W305" s="108"/>
      <c r="X305" s="108"/>
      <c r="Y305" s="108"/>
    </row>
    <row r="306" spans="1:25">
      <c r="A306" s="86" t="s">
        <v>133</v>
      </c>
      <c r="B306" s="108">
        <f>B287*B288*B303*B304</f>
        <v>13104</v>
      </c>
      <c r="C306" s="108">
        <f>C287*C288*C303*C304</f>
        <v>13104</v>
      </c>
      <c r="D306" s="108">
        <f>D287*D288*D303*D304</f>
        <v>13104</v>
      </c>
      <c r="E306" s="108">
        <f>SUM(B306:D306)</f>
        <v>39312</v>
      </c>
      <c r="F306" s="108">
        <f>F287*F288*F303*F304</f>
        <v>13104</v>
      </c>
      <c r="G306" s="108">
        <f>G287*G288*G303*G304</f>
        <v>13104</v>
      </c>
      <c r="H306" s="108">
        <f>H287*H288*H303*H304</f>
        <v>13104</v>
      </c>
      <c r="I306" s="108">
        <f>SUM(F306:H306)</f>
        <v>39312</v>
      </c>
      <c r="J306" s="108">
        <f>J287*J288*J303*J304</f>
        <v>13104</v>
      </c>
      <c r="K306" s="108">
        <f>K287*K288*K303*K304</f>
        <v>13104</v>
      </c>
      <c r="L306" s="108">
        <f>L287*L288*L303*L304</f>
        <v>13104</v>
      </c>
      <c r="M306" s="108">
        <f>SUM(J306:L306)</f>
        <v>39312</v>
      </c>
      <c r="N306" s="108">
        <f>N287*N288*N303*N304</f>
        <v>13104</v>
      </c>
      <c r="O306" s="108">
        <f>O287*O288*O303*O304</f>
        <v>13104</v>
      </c>
      <c r="P306" s="108">
        <f>P287*P288*P303*P304</f>
        <v>13104</v>
      </c>
      <c r="Q306" s="108">
        <f>SUM(N306:P306)</f>
        <v>39312</v>
      </c>
      <c r="R306" s="108">
        <f>SUM(E306+I306+M306+Q306)</f>
        <v>157248</v>
      </c>
      <c r="U306" s="108"/>
      <c r="V306" s="108"/>
      <c r="W306" s="108"/>
      <c r="X306" s="108"/>
      <c r="Y306" s="107"/>
    </row>
    <row r="307" spans="1:25">
      <c r="A307" s="149" t="s">
        <v>168</v>
      </c>
      <c r="B307" s="162">
        <v>0</v>
      </c>
      <c r="C307" s="162">
        <v>0</v>
      </c>
      <c r="D307" s="162">
        <v>0</v>
      </c>
      <c r="E307" s="108">
        <v>0</v>
      </c>
      <c r="F307" s="162">
        <v>0</v>
      </c>
      <c r="G307" s="162">
        <v>0</v>
      </c>
      <c r="H307" s="162">
        <v>0</v>
      </c>
      <c r="I307" s="108">
        <v>0</v>
      </c>
      <c r="J307" s="162">
        <v>0</v>
      </c>
      <c r="K307" s="162">
        <v>0</v>
      </c>
      <c r="L307" s="162">
        <v>0</v>
      </c>
      <c r="M307" s="108">
        <v>0</v>
      </c>
      <c r="N307" s="162">
        <v>0</v>
      </c>
      <c r="O307" s="162">
        <v>0</v>
      </c>
      <c r="P307" s="162">
        <v>0</v>
      </c>
      <c r="Q307" s="108">
        <v>0</v>
      </c>
      <c r="R307" s="108">
        <v>0</v>
      </c>
      <c r="U307" s="108"/>
      <c r="V307" s="108"/>
      <c r="W307" s="108"/>
      <c r="X307" s="108"/>
      <c r="Y307" s="107"/>
    </row>
    <row r="308" spans="1:25">
      <c r="A308" s="149" t="s">
        <v>170</v>
      </c>
      <c r="B308" s="162">
        <f>B27*$W$6</f>
        <v>4514.58</v>
      </c>
      <c r="C308" s="162">
        <f>C27*$W$6</f>
        <v>4027.7999999999997</v>
      </c>
      <c r="D308" s="162">
        <f>D27*$W$6</f>
        <v>4382.7</v>
      </c>
      <c r="E308" s="108">
        <f t="shared" ref="E308:E313" si="79">SUM(B308:D308)</f>
        <v>12925.079999999998</v>
      </c>
      <c r="F308" s="162">
        <f>F27*$W$6</f>
        <v>4554.8999999999996</v>
      </c>
      <c r="G308" s="162">
        <f>G27*$W$6</f>
        <v>5205.6899999999996</v>
      </c>
      <c r="H308" s="162">
        <f>H27*$W$6</f>
        <v>5235.09</v>
      </c>
      <c r="I308" s="108">
        <f t="shared" ref="I308:I313" si="80">SUM(F308:H308)</f>
        <v>14995.68</v>
      </c>
      <c r="J308" s="162">
        <f>J27*$W$6</f>
        <v>5283.8099999999995</v>
      </c>
      <c r="K308" s="162">
        <f>K27*$W$6</f>
        <v>5062.47</v>
      </c>
      <c r="L308" s="162">
        <f>L27*$W$6</f>
        <v>4831.26</v>
      </c>
      <c r="M308" s="108">
        <f t="shared" ref="M308:M313" si="81">SUM(J308:L308)</f>
        <v>15177.539999999999</v>
      </c>
      <c r="N308" s="162">
        <f>N27*$W$6</f>
        <v>4482.87</v>
      </c>
      <c r="O308" s="162">
        <f>O27*$W$6</f>
        <v>3845.73</v>
      </c>
      <c r="P308" s="162">
        <f>P27*$W$6</f>
        <v>3760.68</v>
      </c>
      <c r="Q308" s="108">
        <f t="shared" ref="Q308:Q313" si="82">SUM(N308:P308)</f>
        <v>12089.28</v>
      </c>
      <c r="R308" s="170">
        <f t="shared" ref="R308:R313" si="83">SUM(E308+I308+M308+Q308)</f>
        <v>55187.579999999994</v>
      </c>
    </row>
    <row r="309" spans="1:25">
      <c r="A309" s="149" t="s">
        <v>172</v>
      </c>
      <c r="B309" s="162">
        <f>B28*$W$14</f>
        <v>2522.52</v>
      </c>
      <c r="C309" s="162">
        <f>C28*$W$14</f>
        <v>2291.85</v>
      </c>
      <c r="D309" s="162">
        <f>D28*$W$14</f>
        <v>2701.71</v>
      </c>
      <c r="E309" s="108">
        <f t="shared" si="79"/>
        <v>7516.08</v>
      </c>
      <c r="F309" s="162">
        <f>F28*$W$14</f>
        <v>2865.3900000000003</v>
      </c>
      <c r="G309" s="162">
        <f>G28*$W$14</f>
        <v>2843.94</v>
      </c>
      <c r="H309" s="162">
        <f>H28*$W$14</f>
        <v>3076.26</v>
      </c>
      <c r="I309" s="108">
        <f t="shared" si="80"/>
        <v>8785.59</v>
      </c>
      <c r="J309" s="162">
        <f>J28*$W$14</f>
        <v>1263.9000000000001</v>
      </c>
      <c r="K309" s="162">
        <f>K28*$W$14</f>
        <v>2686.2000000000003</v>
      </c>
      <c r="L309" s="162">
        <f>L28*$W$14</f>
        <v>2825.13</v>
      </c>
      <c r="M309" s="108">
        <f t="shared" si="81"/>
        <v>6775.2300000000005</v>
      </c>
      <c r="N309" s="162">
        <f>N28*$W$14</f>
        <v>2564.4300000000003</v>
      </c>
      <c r="O309" s="162">
        <f>O28*$W$14</f>
        <v>2509.65</v>
      </c>
      <c r="P309" s="162">
        <f>P28*$W$14</f>
        <v>2296.1400000000003</v>
      </c>
      <c r="Q309" s="108">
        <f t="shared" si="82"/>
        <v>7370.22</v>
      </c>
      <c r="R309" s="108">
        <f t="shared" si="83"/>
        <v>30447.120000000003</v>
      </c>
      <c r="U309" s="172" t="str">
        <f>U287</f>
        <v>LUREX 1</v>
      </c>
      <c r="V309" s="157" t="s">
        <v>178</v>
      </c>
      <c r="W309" s="157" t="s">
        <v>179</v>
      </c>
      <c r="X309" s="157" t="s">
        <v>180</v>
      </c>
      <c r="Y309" s="157" t="s">
        <v>181</v>
      </c>
    </row>
    <row r="310" spans="1:25">
      <c r="A310" s="149" t="s">
        <v>175</v>
      </c>
      <c r="B310" s="162">
        <f>B29*$W$22</f>
        <v>901.58999999999992</v>
      </c>
      <c r="C310" s="162">
        <f>C29*$W$22</f>
        <v>840.5</v>
      </c>
      <c r="D310" s="162">
        <f>D29*$W$22</f>
        <v>1059.8499999999999</v>
      </c>
      <c r="E310" s="108">
        <f t="shared" si="79"/>
        <v>2801.9399999999996</v>
      </c>
      <c r="F310" s="162">
        <f>F29*$W$22</f>
        <v>1315.28</v>
      </c>
      <c r="G310" s="162">
        <f>G29*$W$22</f>
        <v>1587.52</v>
      </c>
      <c r="H310" s="162">
        <f>H29*$W$22</f>
        <v>1676.8999999999999</v>
      </c>
      <c r="I310" s="108">
        <f t="shared" si="80"/>
        <v>4579.7</v>
      </c>
      <c r="J310" s="162">
        <f>J29*$W$22</f>
        <v>1602.0749999999998</v>
      </c>
      <c r="K310" s="162">
        <f>K29*$W$22</f>
        <v>1655.375</v>
      </c>
      <c r="L310" s="162">
        <f>L29*$W$22</f>
        <v>1609.25</v>
      </c>
      <c r="M310" s="108">
        <f t="shared" si="81"/>
        <v>4866.7</v>
      </c>
      <c r="N310" s="162">
        <f>N29*$W$22</f>
        <v>1280.8399999999999</v>
      </c>
      <c r="O310" s="162">
        <f>O29*$W$22</f>
        <v>1153.33</v>
      </c>
      <c r="P310" s="162">
        <f>P29*$W$22</f>
        <v>823.28</v>
      </c>
      <c r="Q310" s="108">
        <f t="shared" si="82"/>
        <v>3257.45</v>
      </c>
      <c r="R310" s="108">
        <f t="shared" si="83"/>
        <v>15505.79</v>
      </c>
      <c r="U310" s="171" t="s">
        <v>182</v>
      </c>
      <c r="V310" s="159">
        <f>Y289/R293</f>
        <v>0.33482142857142855</v>
      </c>
      <c r="W310" s="159">
        <f>Y290/R306</f>
        <v>7.7584452584452583E-3</v>
      </c>
      <c r="X310" s="160">
        <f>Y291/R318</f>
        <v>1.1966765873015872</v>
      </c>
      <c r="Y310" s="108">
        <f>Y292/R318</f>
        <v>2.472718253968254</v>
      </c>
    </row>
    <row r="311" spans="1:25">
      <c r="A311" s="149" t="s">
        <v>177</v>
      </c>
      <c r="B311" s="162">
        <f>B30*$W$31</f>
        <v>282.24</v>
      </c>
      <c r="C311" s="162">
        <f>C30*$W$31</f>
        <v>271.74</v>
      </c>
      <c r="D311" s="162">
        <f>D30*$W$31</f>
        <v>333.47999999999996</v>
      </c>
      <c r="E311" s="108">
        <f t="shared" si="79"/>
        <v>887.46</v>
      </c>
      <c r="F311" s="162">
        <f>F30*$W$31</f>
        <v>428.14800000000002</v>
      </c>
      <c r="G311" s="162">
        <f>G30*$W$31</f>
        <v>598.75199999999995</v>
      </c>
      <c r="H311" s="162">
        <f>H30*$W$31</f>
        <v>549.36</v>
      </c>
      <c r="I311" s="108">
        <f t="shared" si="80"/>
        <v>1576.2600000000002</v>
      </c>
      <c r="J311" s="162">
        <f>J30*$W$31</f>
        <v>261.65999999999997</v>
      </c>
      <c r="K311" s="162">
        <f>K30*$W$31</f>
        <v>266.27999999999997</v>
      </c>
      <c r="L311" s="162">
        <f>L30*$W$31</f>
        <v>235.2</v>
      </c>
      <c r="M311" s="108">
        <f t="shared" si="81"/>
        <v>763.13999999999987</v>
      </c>
      <c r="N311" s="162">
        <f>N30*$W$31</f>
        <v>208.32</v>
      </c>
      <c r="O311" s="162">
        <f>O30*$W$31</f>
        <v>184.38</v>
      </c>
      <c r="P311" s="162">
        <f>P30*$W$31</f>
        <v>206.22</v>
      </c>
      <c r="Q311" s="108">
        <f t="shared" si="82"/>
        <v>598.91999999999996</v>
      </c>
      <c r="R311" s="108">
        <f t="shared" si="83"/>
        <v>3825.78</v>
      </c>
    </row>
    <row r="312" spans="1:25">
      <c r="A312" s="86" t="s">
        <v>183</v>
      </c>
      <c r="B312" s="108">
        <f>SUM(B308:B311)</f>
        <v>8220.93</v>
      </c>
      <c r="C312" s="108">
        <f>SUM(C308:C311)</f>
        <v>7431.8899999999994</v>
      </c>
      <c r="D312" s="108">
        <f>SUM(D308:D311)</f>
        <v>8477.74</v>
      </c>
      <c r="E312" s="108">
        <f t="shared" si="79"/>
        <v>24130.559999999998</v>
      </c>
      <c r="F312" s="108">
        <f>SUM(F308:F311)</f>
        <v>9163.7179999999989</v>
      </c>
      <c r="G312" s="108">
        <f>SUM(G308:G311)</f>
        <v>10235.902</v>
      </c>
      <c r="H312" s="108">
        <f>SUM(H308:H311)</f>
        <v>10537.61</v>
      </c>
      <c r="I312" s="108">
        <f t="shared" si="80"/>
        <v>29937.23</v>
      </c>
      <c r="J312" s="108">
        <f>SUM(J308:J311)</f>
        <v>8411.4449999999997</v>
      </c>
      <c r="K312" s="108">
        <f>SUM(K308:K311)</f>
        <v>9670.3250000000007</v>
      </c>
      <c r="L312" s="108">
        <f>SUM(L308:L311)</f>
        <v>9500.84</v>
      </c>
      <c r="M312" s="108">
        <f t="shared" si="81"/>
        <v>27582.61</v>
      </c>
      <c r="N312" s="108">
        <f>SUM(N308:N311)</f>
        <v>8536.4599999999991</v>
      </c>
      <c r="O312" s="108">
        <f>SUM(O308:O311)</f>
        <v>7693.09</v>
      </c>
      <c r="P312" s="108">
        <f>SUM(P308:P311)</f>
        <v>7086.32</v>
      </c>
      <c r="Q312" s="108">
        <f t="shared" si="82"/>
        <v>23315.87</v>
      </c>
      <c r="R312" s="108">
        <f t="shared" si="83"/>
        <v>104966.26999999999</v>
      </c>
    </row>
    <row r="313" spans="1:25">
      <c r="A313" s="86" t="s">
        <v>139</v>
      </c>
      <c r="B313" s="108">
        <f>SUM(B312-B306)</f>
        <v>-4883.07</v>
      </c>
      <c r="C313" s="108">
        <f>SUM(C312-C306)</f>
        <v>-5672.1100000000006</v>
      </c>
      <c r="D313" s="108">
        <f>SUM(D312-D306)</f>
        <v>-4626.26</v>
      </c>
      <c r="E313" s="108">
        <f t="shared" si="79"/>
        <v>-15181.44</v>
      </c>
      <c r="F313" s="108">
        <f>SUM(F312-F306)</f>
        <v>-3940.2820000000011</v>
      </c>
      <c r="G313" s="108">
        <f>SUM(G312-G306)</f>
        <v>-2868.098</v>
      </c>
      <c r="H313" s="108">
        <f>SUM(H312-H306)</f>
        <v>-2566.3899999999994</v>
      </c>
      <c r="I313" s="108">
        <f t="shared" si="80"/>
        <v>-9374.77</v>
      </c>
      <c r="J313" s="108">
        <f>SUM(J312-J306)</f>
        <v>-4692.5550000000003</v>
      </c>
      <c r="K313" s="108">
        <f>SUM(K312-K306)</f>
        <v>-3433.6749999999993</v>
      </c>
      <c r="L313" s="108">
        <f>SUM(L312-L306)</f>
        <v>-3603.16</v>
      </c>
      <c r="M313" s="108">
        <f t="shared" si="81"/>
        <v>-11729.39</v>
      </c>
      <c r="N313" s="108">
        <f>SUM(N312-N306)</f>
        <v>-4567.5400000000009</v>
      </c>
      <c r="O313" s="108">
        <f>SUM(O312-O306)</f>
        <v>-5410.91</v>
      </c>
      <c r="P313" s="108">
        <f>SUM(P312-P306)</f>
        <v>-6017.68</v>
      </c>
      <c r="Q313" s="108">
        <f t="shared" si="82"/>
        <v>-15996.130000000001</v>
      </c>
      <c r="R313" s="108">
        <f t="shared" si="83"/>
        <v>-52281.729999999996</v>
      </c>
    </row>
    <row r="314" spans="1:25">
      <c r="A314" s="141" t="s">
        <v>142</v>
      </c>
      <c r="B314" s="162"/>
      <c r="C314" s="162"/>
      <c r="D314" s="162"/>
      <c r="E314" s="108"/>
      <c r="F314" s="162"/>
      <c r="G314" s="162"/>
      <c r="H314" s="162"/>
      <c r="I314" s="108"/>
      <c r="J314" s="162"/>
      <c r="K314" s="162"/>
      <c r="L314" s="162"/>
      <c r="M314" s="108"/>
      <c r="N314" s="162"/>
      <c r="O314" s="162"/>
      <c r="P314" s="162"/>
      <c r="Q314" s="108"/>
      <c r="R314" s="108"/>
    </row>
    <row r="315" spans="1:25">
      <c r="A315" s="149" t="s">
        <v>163</v>
      </c>
      <c r="B315" s="162">
        <v>2</v>
      </c>
      <c r="C315" s="162">
        <v>2</v>
      </c>
      <c r="D315" s="162">
        <v>2</v>
      </c>
      <c r="E315" s="108">
        <v>2</v>
      </c>
      <c r="F315" s="162">
        <v>2</v>
      </c>
      <c r="G315" s="162">
        <v>2</v>
      </c>
      <c r="H315" s="162">
        <v>2</v>
      </c>
      <c r="I315" s="108">
        <v>2</v>
      </c>
      <c r="J315" s="162">
        <v>2</v>
      </c>
      <c r="K315" s="162">
        <v>2</v>
      </c>
      <c r="L315" s="162">
        <v>2</v>
      </c>
      <c r="M315" s="108">
        <v>2</v>
      </c>
      <c r="N315" s="162">
        <v>2</v>
      </c>
      <c r="O315" s="162">
        <v>2</v>
      </c>
      <c r="P315" s="162">
        <v>2</v>
      </c>
      <c r="Q315" s="108">
        <v>2</v>
      </c>
      <c r="R315" s="108">
        <v>2</v>
      </c>
    </row>
    <row r="316" spans="1:25">
      <c r="A316" s="149" t="s">
        <v>129</v>
      </c>
      <c r="B316" s="162">
        <v>2</v>
      </c>
      <c r="C316" s="162">
        <v>2</v>
      </c>
      <c r="D316" s="162">
        <v>2</v>
      </c>
      <c r="E316" s="108">
        <v>2</v>
      </c>
      <c r="F316" s="162">
        <v>2</v>
      </c>
      <c r="G316" s="162">
        <v>2</v>
      </c>
      <c r="H316" s="162">
        <v>2</v>
      </c>
      <c r="I316" s="108">
        <v>2</v>
      </c>
      <c r="J316" s="162">
        <v>2</v>
      </c>
      <c r="K316" s="162">
        <v>2</v>
      </c>
      <c r="L316" s="162">
        <v>2</v>
      </c>
      <c r="M316" s="108">
        <v>2</v>
      </c>
      <c r="N316" s="162">
        <v>2</v>
      </c>
      <c r="O316" s="162">
        <v>2</v>
      </c>
      <c r="P316" s="162">
        <v>2</v>
      </c>
      <c r="Q316" s="108">
        <v>2</v>
      </c>
      <c r="R316" s="108">
        <v>2</v>
      </c>
    </row>
    <row r="317" spans="1:25">
      <c r="A317" s="149" t="s">
        <v>166</v>
      </c>
      <c r="B317" s="162">
        <v>0</v>
      </c>
      <c r="C317" s="162">
        <v>0</v>
      </c>
      <c r="D317" s="162">
        <v>0</v>
      </c>
      <c r="E317" s="108">
        <v>0</v>
      </c>
      <c r="F317" s="162">
        <v>0</v>
      </c>
      <c r="G317" s="162">
        <v>0</v>
      </c>
      <c r="H317" s="162">
        <v>0</v>
      </c>
      <c r="I317" s="108">
        <v>0</v>
      </c>
      <c r="J317" s="162">
        <v>0</v>
      </c>
      <c r="K317" s="162">
        <v>0</v>
      </c>
      <c r="L317" s="162">
        <v>0</v>
      </c>
      <c r="M317" s="108">
        <v>0</v>
      </c>
      <c r="N317" s="162">
        <v>0</v>
      </c>
      <c r="O317" s="162">
        <v>0</v>
      </c>
      <c r="P317" s="162">
        <v>0</v>
      </c>
      <c r="Q317" s="108">
        <v>0</v>
      </c>
      <c r="R317" s="108">
        <v>0</v>
      </c>
    </row>
    <row r="318" spans="1:25">
      <c r="A318" s="86" t="s">
        <v>133</v>
      </c>
      <c r="B318" s="108">
        <f>B287*B288*B315*B316</f>
        <v>672</v>
      </c>
      <c r="C318" s="108">
        <f>C287*C288*C315*C316</f>
        <v>672</v>
      </c>
      <c r="D318" s="108">
        <f>D287*D288*D315*D316</f>
        <v>672</v>
      </c>
      <c r="E318" s="108">
        <f>SUM(B318:D318)</f>
        <v>2016</v>
      </c>
      <c r="F318" s="108">
        <f>F287*F288*F315*F316</f>
        <v>672</v>
      </c>
      <c r="G318" s="108">
        <f>G287*G288*G315*G316</f>
        <v>672</v>
      </c>
      <c r="H318" s="108">
        <f>H287*H288*H315*H316</f>
        <v>672</v>
      </c>
      <c r="I318" s="108">
        <f>SUM(F318:H318)</f>
        <v>2016</v>
      </c>
      <c r="J318" s="108">
        <f>J287*J288*J315*J316</f>
        <v>672</v>
      </c>
      <c r="K318" s="108">
        <f>K287*K288*K315*K316</f>
        <v>672</v>
      </c>
      <c r="L318" s="108">
        <f>L287*L288*L315*L316</f>
        <v>672</v>
      </c>
      <c r="M318" s="108">
        <f>SUM(J318:L318)</f>
        <v>2016</v>
      </c>
      <c r="N318" s="108">
        <f>N287*N288*N315*N316</f>
        <v>672</v>
      </c>
      <c r="O318" s="108">
        <f>O287*O288*O315*O316</f>
        <v>672</v>
      </c>
      <c r="P318" s="108">
        <f>P287*P288*P315*P316</f>
        <v>672</v>
      </c>
      <c r="Q318" s="108">
        <f>SUM(N318:P318)</f>
        <v>2016</v>
      </c>
      <c r="R318" s="108">
        <f>SUM(E318+I318+M318+Q318)</f>
        <v>8064</v>
      </c>
    </row>
    <row r="319" spans="1:25">
      <c r="A319" s="149" t="s">
        <v>168</v>
      </c>
      <c r="B319" s="162">
        <v>0</v>
      </c>
      <c r="C319" s="162">
        <v>0</v>
      </c>
      <c r="D319" s="162">
        <v>0</v>
      </c>
      <c r="E319" s="108">
        <v>0</v>
      </c>
      <c r="F319" s="162">
        <v>0</v>
      </c>
      <c r="G319" s="162">
        <v>0</v>
      </c>
      <c r="H319" s="162">
        <v>0</v>
      </c>
      <c r="I319" s="108">
        <v>0</v>
      </c>
      <c r="J319" s="162">
        <v>0</v>
      </c>
      <c r="K319" s="162">
        <v>0</v>
      </c>
      <c r="L319" s="162">
        <v>0</v>
      </c>
      <c r="M319" s="108">
        <v>0</v>
      </c>
      <c r="N319" s="162">
        <v>0</v>
      </c>
      <c r="O319" s="162">
        <v>0</v>
      </c>
      <c r="P319" s="162">
        <v>0</v>
      </c>
      <c r="Q319" s="108">
        <v>0</v>
      </c>
      <c r="R319" s="108">
        <v>0</v>
      </c>
    </row>
    <row r="320" spans="1:25">
      <c r="A320" s="149" t="s">
        <v>170</v>
      </c>
      <c r="B320" s="162">
        <f>B27*$X$6</f>
        <v>107.49000000000001</v>
      </c>
      <c r="C320" s="162">
        <f>C27*$X$6</f>
        <v>95.9</v>
      </c>
      <c r="D320" s="162">
        <f>D27*$X$6</f>
        <v>104.35000000000001</v>
      </c>
      <c r="E320" s="108">
        <f t="shared" ref="E320:E325" si="84">SUM(B320:D320)</f>
        <v>307.74</v>
      </c>
      <c r="F320" s="162">
        <f>F27*$X$6</f>
        <v>108.45</v>
      </c>
      <c r="G320" s="162">
        <f>G27*$X$6</f>
        <v>123.94500000000001</v>
      </c>
      <c r="H320" s="162">
        <f>H27*$X$6</f>
        <v>124.645</v>
      </c>
      <c r="I320" s="108">
        <f t="shared" ref="I320:I325" si="85">SUM(F320:H320)</f>
        <v>357.04</v>
      </c>
      <c r="J320" s="162">
        <f>J27*$X$6</f>
        <v>125.80500000000001</v>
      </c>
      <c r="K320" s="162">
        <f>K27*$X$6</f>
        <v>120.535</v>
      </c>
      <c r="L320" s="162">
        <f>L27*$X$6</f>
        <v>115.03</v>
      </c>
      <c r="M320" s="108">
        <f t="shared" ref="M320:M325" si="86">SUM(J320:L320)</f>
        <v>361.37</v>
      </c>
      <c r="N320" s="162">
        <f>N27*$X$6</f>
        <v>106.735</v>
      </c>
      <c r="O320" s="162">
        <f>O27*$X$6</f>
        <v>91.564999999999998</v>
      </c>
      <c r="P320" s="162">
        <f>P27*$X$6</f>
        <v>89.54</v>
      </c>
      <c r="Q320" s="108">
        <f t="shared" ref="Q320:Q325" si="87">SUM(N320:P320)</f>
        <v>287.84000000000003</v>
      </c>
      <c r="R320" s="108">
        <f>SUM(E320+I320+M320+Q320)</f>
        <v>1313.9900000000002</v>
      </c>
    </row>
    <row r="321" spans="1:18">
      <c r="A321" s="149" t="s">
        <v>172</v>
      </c>
      <c r="B321" s="162">
        <f>B28*$X$14</f>
        <v>76.44</v>
      </c>
      <c r="C321" s="162">
        <f>C28*$X$14</f>
        <v>69.45</v>
      </c>
      <c r="D321" s="162">
        <f>B28*$X$14</f>
        <v>76.44</v>
      </c>
      <c r="E321" s="108">
        <f t="shared" si="84"/>
        <v>222.32999999999998</v>
      </c>
      <c r="F321" s="162">
        <f>F28*$X$14</f>
        <v>86.83</v>
      </c>
      <c r="G321" s="162">
        <f>G28*$X$14</f>
        <v>86.18</v>
      </c>
      <c r="H321" s="162">
        <f>H28*$X$14</f>
        <v>93.22</v>
      </c>
      <c r="I321" s="108">
        <f t="shared" si="85"/>
        <v>266.23</v>
      </c>
      <c r="J321" s="162">
        <f>J28*$X$14</f>
        <v>38.300000000000004</v>
      </c>
      <c r="K321" s="162">
        <f>K28*$X$14</f>
        <v>81.400000000000006</v>
      </c>
      <c r="L321" s="162">
        <f>L28*$X$14</f>
        <v>85.61</v>
      </c>
      <c r="M321" s="108">
        <f t="shared" si="86"/>
        <v>205.31</v>
      </c>
      <c r="N321" s="162">
        <f>N28*$X$14</f>
        <v>77.710000000000008</v>
      </c>
      <c r="O321" s="162">
        <f>O28*$X$14</f>
        <v>76.05</v>
      </c>
      <c r="P321" s="162">
        <f>P28*$X$14</f>
        <v>69.58</v>
      </c>
      <c r="Q321" s="108">
        <f t="shared" si="87"/>
        <v>223.33999999999997</v>
      </c>
      <c r="R321" s="108">
        <f>SUM(E321+I321+Q321)</f>
        <v>711.9</v>
      </c>
    </row>
    <row r="322" spans="1:18">
      <c r="A322" s="149" t="s">
        <v>175</v>
      </c>
      <c r="B322" s="162">
        <f>B29*$X$22</f>
        <v>21.990000000000002</v>
      </c>
      <c r="C322" s="162">
        <f>C29*$X$22</f>
        <v>20.5</v>
      </c>
      <c r="D322" s="162">
        <f>D29*$X$22</f>
        <v>25.85</v>
      </c>
      <c r="E322" s="108">
        <f t="shared" si="84"/>
        <v>68.34</v>
      </c>
      <c r="F322" s="162">
        <f>F29*$X$22</f>
        <v>32.08</v>
      </c>
      <c r="G322" s="162">
        <f>G29*$X$22</f>
        <v>38.72</v>
      </c>
      <c r="H322" s="162">
        <f>H29*$X$22</f>
        <v>40.9</v>
      </c>
      <c r="I322" s="108">
        <f t="shared" si="85"/>
        <v>111.69999999999999</v>
      </c>
      <c r="J322" s="162">
        <f>J29*$X$22</f>
        <v>39.075000000000003</v>
      </c>
      <c r="K322" s="162">
        <f>K29*$X$22</f>
        <v>40.375</v>
      </c>
      <c r="L322" s="162">
        <f>L29*$X$22</f>
        <v>39.25</v>
      </c>
      <c r="M322" s="108">
        <f t="shared" si="86"/>
        <v>118.7</v>
      </c>
      <c r="N322" s="162">
        <f>N29*$X$22</f>
        <v>31.240000000000002</v>
      </c>
      <c r="O322" s="162">
        <f>O29*$X$22</f>
        <v>28.13</v>
      </c>
      <c r="P322" s="162">
        <f>P29*$X$22</f>
        <v>20.080000000000002</v>
      </c>
      <c r="Q322" s="108">
        <f t="shared" si="87"/>
        <v>79.45</v>
      </c>
      <c r="R322" s="108">
        <f>SUM(E322+I322+M322+Q322)</f>
        <v>378.19</v>
      </c>
    </row>
    <row r="323" spans="1:18">
      <c r="A323" s="149" t="s">
        <v>177</v>
      </c>
      <c r="B323" s="162">
        <f>B30*$X$31</f>
        <v>6.72</v>
      </c>
      <c r="C323" s="162">
        <f>C30*$X$31</f>
        <v>6.47</v>
      </c>
      <c r="D323" s="162">
        <f>D30*$X$31</f>
        <v>7.94</v>
      </c>
      <c r="E323" s="108">
        <f t="shared" si="84"/>
        <v>21.13</v>
      </c>
      <c r="F323" s="162">
        <f>F30*$X$31</f>
        <v>10.194000000000001</v>
      </c>
      <c r="G323" s="162">
        <f>G30*$X$31</f>
        <v>14.256</v>
      </c>
      <c r="H323" s="162">
        <f>H30*$X$31</f>
        <v>13.08</v>
      </c>
      <c r="I323" s="108">
        <f t="shared" si="85"/>
        <v>37.53</v>
      </c>
      <c r="J323" s="162">
        <f>J30*$X$31</f>
        <v>6.23</v>
      </c>
      <c r="K323" s="162">
        <f>K30*$X$31</f>
        <v>6.34</v>
      </c>
      <c r="L323" s="162">
        <f>L30*$X$31</f>
        <v>5.6000000000000005</v>
      </c>
      <c r="M323" s="108">
        <f t="shared" si="86"/>
        <v>18.170000000000002</v>
      </c>
      <c r="N323" s="162">
        <f>N30*$X$31</f>
        <v>4.96</v>
      </c>
      <c r="O323" s="162">
        <f>O30*$X$31</f>
        <v>4.3899999999999997</v>
      </c>
      <c r="P323" s="162">
        <f>P30*$X$31</f>
        <v>4.91</v>
      </c>
      <c r="Q323" s="108">
        <f t="shared" si="87"/>
        <v>14.26</v>
      </c>
      <c r="R323" s="108">
        <f>SUM(E323+I323+M323+Q323)</f>
        <v>91.09</v>
      </c>
    </row>
    <row r="324" spans="1:18">
      <c r="A324" s="86" t="s">
        <v>138</v>
      </c>
      <c r="B324" s="108">
        <f>SUM(B320:B323)</f>
        <v>212.64000000000001</v>
      </c>
      <c r="C324" s="108">
        <f>SUM(C320:C323)</f>
        <v>192.32000000000002</v>
      </c>
      <c r="D324" s="108">
        <f>SUM(D320:D323)</f>
        <v>214.58</v>
      </c>
      <c r="E324" s="108">
        <f t="shared" si="84"/>
        <v>619.54000000000008</v>
      </c>
      <c r="F324" s="108">
        <f>SUM(F320:F323)</f>
        <v>237.554</v>
      </c>
      <c r="G324" s="108">
        <f>SUM(G320:G323)</f>
        <v>263.101</v>
      </c>
      <c r="H324" s="108">
        <f>SUM(H320:H323)</f>
        <v>271.84499999999997</v>
      </c>
      <c r="I324" s="108">
        <f t="shared" si="85"/>
        <v>772.5</v>
      </c>
      <c r="J324" s="108">
        <f>SUM(J320:J323)</f>
        <v>209.41</v>
      </c>
      <c r="K324" s="108">
        <f>SUM(K320:K323)</f>
        <v>248.65</v>
      </c>
      <c r="L324" s="108">
        <f>SUM(L320:L323)</f>
        <v>245.48999999999998</v>
      </c>
      <c r="M324" s="108">
        <f t="shared" si="86"/>
        <v>703.55</v>
      </c>
      <c r="N324" s="108">
        <f>SUM(N320:N323)</f>
        <v>220.64500000000001</v>
      </c>
      <c r="O324" s="108">
        <f>SUM(O320:O323)</f>
        <v>200.13499999999999</v>
      </c>
      <c r="P324" s="108">
        <f>SUM(P320:P323)</f>
        <v>184.11</v>
      </c>
      <c r="Q324" s="108">
        <f t="shared" si="87"/>
        <v>604.89</v>
      </c>
      <c r="R324" s="108">
        <f>SUM(E324+I324+M324+Q324)</f>
        <v>2700.48</v>
      </c>
    </row>
    <row r="325" spans="1:18">
      <c r="A325" s="86" t="s">
        <v>139</v>
      </c>
      <c r="B325" s="108">
        <f>SUM(B324-B318)</f>
        <v>-459.36</v>
      </c>
      <c r="C325" s="108">
        <f>SUM(C324-C318)</f>
        <v>-479.67999999999995</v>
      </c>
      <c r="D325" s="108">
        <f>SUM(D324-D318)</f>
        <v>-457.41999999999996</v>
      </c>
      <c r="E325" s="108">
        <f t="shared" si="84"/>
        <v>-1396.46</v>
      </c>
      <c r="F325" s="108">
        <f>SUM(F324-F318)</f>
        <v>-434.44600000000003</v>
      </c>
      <c r="G325" s="108">
        <f>SUM(G324-G318)</f>
        <v>-408.899</v>
      </c>
      <c r="H325" s="108">
        <f>SUM(H324-H318)</f>
        <v>-400.15500000000003</v>
      </c>
      <c r="I325" s="108">
        <f t="shared" si="85"/>
        <v>-1243.5</v>
      </c>
      <c r="J325" s="108">
        <f>SUM(J324-J318)</f>
        <v>-462.59000000000003</v>
      </c>
      <c r="K325" s="108">
        <f>SUM(K324-K318)</f>
        <v>-423.35</v>
      </c>
      <c r="L325" s="108">
        <f>SUM(L324-L318)</f>
        <v>-426.51</v>
      </c>
      <c r="M325" s="108">
        <f t="shared" si="86"/>
        <v>-1312.45</v>
      </c>
      <c r="N325" s="108">
        <f>SUM(N324-N318)</f>
        <v>-451.35500000000002</v>
      </c>
      <c r="O325" s="108">
        <f>SUM(O324-O318)</f>
        <v>-471.86500000000001</v>
      </c>
      <c r="P325" s="108">
        <f>SUM(P324-P318)</f>
        <v>-487.89</v>
      </c>
      <c r="Q325" s="108">
        <f t="shared" si="87"/>
        <v>-1411.1100000000001</v>
      </c>
      <c r="R325" s="108">
        <f>SUM(E325+I325+M325+Q325)</f>
        <v>-5363.52</v>
      </c>
    </row>
    <row r="326" spans="1:18">
      <c r="A326" s="141" t="s">
        <v>144</v>
      </c>
      <c r="B326" s="162"/>
      <c r="C326" s="162"/>
      <c r="D326" s="162"/>
      <c r="E326" s="108"/>
      <c r="F326" s="162"/>
      <c r="G326" s="162"/>
      <c r="H326" s="162"/>
      <c r="I326" s="108"/>
      <c r="J326" s="162"/>
      <c r="K326" s="162"/>
      <c r="L326" s="162"/>
      <c r="M326" s="108"/>
      <c r="N326" s="162"/>
      <c r="O326" s="162"/>
      <c r="P326" s="162"/>
      <c r="Q326" s="108"/>
      <c r="R326" s="108"/>
    </row>
    <row r="327" spans="1:18">
      <c r="A327" s="149" t="s">
        <v>163</v>
      </c>
      <c r="B327" s="162">
        <v>9</v>
      </c>
      <c r="C327" s="162">
        <v>9</v>
      </c>
      <c r="D327" s="162">
        <v>9</v>
      </c>
      <c r="E327" s="108">
        <v>9</v>
      </c>
      <c r="F327" s="162">
        <v>9</v>
      </c>
      <c r="G327" s="162">
        <v>9</v>
      </c>
      <c r="H327" s="162">
        <v>9</v>
      </c>
      <c r="I327" s="108">
        <v>9</v>
      </c>
      <c r="J327" s="162">
        <v>9</v>
      </c>
      <c r="K327" s="162">
        <v>9</v>
      </c>
      <c r="L327" s="162">
        <v>9</v>
      </c>
      <c r="M327" s="108">
        <v>9</v>
      </c>
      <c r="N327" s="162">
        <v>9</v>
      </c>
      <c r="O327" s="162">
        <v>9</v>
      </c>
      <c r="P327" s="162">
        <v>9</v>
      </c>
      <c r="Q327" s="108">
        <v>9</v>
      </c>
      <c r="R327" s="108">
        <v>9</v>
      </c>
    </row>
    <row r="328" spans="1:18">
      <c r="A328" s="149" t="s">
        <v>129</v>
      </c>
      <c r="B328" s="162">
        <v>2</v>
      </c>
      <c r="C328" s="162">
        <v>2</v>
      </c>
      <c r="D328" s="162">
        <v>2</v>
      </c>
      <c r="E328" s="108">
        <v>2</v>
      </c>
      <c r="F328" s="162">
        <v>2</v>
      </c>
      <c r="G328" s="162">
        <v>2</v>
      </c>
      <c r="H328" s="162">
        <v>2</v>
      </c>
      <c r="I328" s="108">
        <v>2</v>
      </c>
      <c r="J328" s="162">
        <v>2</v>
      </c>
      <c r="K328" s="162">
        <v>2</v>
      </c>
      <c r="L328" s="162">
        <v>2</v>
      </c>
      <c r="M328" s="108">
        <v>2</v>
      </c>
      <c r="N328" s="162">
        <v>2</v>
      </c>
      <c r="O328" s="162">
        <v>2</v>
      </c>
      <c r="P328" s="162">
        <v>2</v>
      </c>
      <c r="Q328" s="108">
        <v>2</v>
      </c>
      <c r="R328" s="108">
        <v>2</v>
      </c>
    </row>
    <row r="329" spans="1:18">
      <c r="A329" s="149" t="s">
        <v>166</v>
      </c>
      <c r="B329" s="162">
        <v>0</v>
      </c>
      <c r="C329" s="162">
        <v>0</v>
      </c>
      <c r="D329" s="162">
        <v>0</v>
      </c>
      <c r="E329" s="108">
        <v>0</v>
      </c>
      <c r="F329" s="162">
        <v>0</v>
      </c>
      <c r="G329" s="162">
        <v>0</v>
      </c>
      <c r="H329" s="162">
        <v>0</v>
      </c>
      <c r="I329" s="108">
        <v>0</v>
      </c>
      <c r="J329" s="162">
        <v>0</v>
      </c>
      <c r="K329" s="162">
        <v>0</v>
      </c>
      <c r="L329" s="162">
        <v>0</v>
      </c>
      <c r="M329" s="108">
        <v>0</v>
      </c>
      <c r="N329" s="162">
        <v>0</v>
      </c>
      <c r="O329" s="162">
        <v>0</v>
      </c>
      <c r="P329" s="162">
        <v>0</v>
      </c>
      <c r="Q329" s="108">
        <v>0</v>
      </c>
      <c r="R329" s="108">
        <v>0</v>
      </c>
    </row>
    <row r="330" spans="1:18">
      <c r="A330" s="86" t="s">
        <v>133</v>
      </c>
      <c r="B330" s="108">
        <f>B287*B288*B327*B328</f>
        <v>3024</v>
      </c>
      <c r="C330" s="108">
        <f>C287*C288*C327*C328</f>
        <v>3024</v>
      </c>
      <c r="D330" s="108">
        <f>D287*D288*D327*D328</f>
        <v>3024</v>
      </c>
      <c r="E330" s="108">
        <f>SUM(B330:D330)</f>
        <v>9072</v>
      </c>
      <c r="F330" s="108">
        <f>F287*F288*F327*F328</f>
        <v>3024</v>
      </c>
      <c r="G330" s="108">
        <f>G287*G288*G327*G328</f>
        <v>3024</v>
      </c>
      <c r="H330" s="108">
        <f>H287*H288*H327*H328</f>
        <v>3024</v>
      </c>
      <c r="I330" s="108">
        <f>SUM(F330:H330)</f>
        <v>9072</v>
      </c>
      <c r="J330" s="108">
        <f>J287*J288*J327*J328</f>
        <v>3024</v>
      </c>
      <c r="K330" s="108">
        <f>K287*K288*K327*K328</f>
        <v>3024</v>
      </c>
      <c r="L330" s="108">
        <f>L287*L288*L327*L328</f>
        <v>3024</v>
      </c>
      <c r="M330" s="108">
        <f>SUM(J330:L330)</f>
        <v>9072</v>
      </c>
      <c r="N330" s="108">
        <f>N287*N288*N327*N328</f>
        <v>3024</v>
      </c>
      <c r="O330" s="108">
        <f>O287*O288*O327*O328</f>
        <v>3024</v>
      </c>
      <c r="P330" s="108">
        <f>P287*P288*P327*P328</f>
        <v>3024</v>
      </c>
      <c r="Q330" s="108">
        <f>SUM(N330:P330)</f>
        <v>9072</v>
      </c>
      <c r="R330" s="108">
        <f>SUM(E330+I330+M330+Q330)</f>
        <v>36288</v>
      </c>
    </row>
    <row r="331" spans="1:18">
      <c r="A331" s="149" t="s">
        <v>168</v>
      </c>
      <c r="B331" s="162">
        <v>0</v>
      </c>
      <c r="C331" s="162">
        <v>0</v>
      </c>
      <c r="D331" s="162">
        <v>0</v>
      </c>
      <c r="E331" s="108">
        <v>0</v>
      </c>
      <c r="F331" s="162">
        <v>0</v>
      </c>
      <c r="G331" s="162">
        <v>0</v>
      </c>
      <c r="H331" s="162">
        <v>0</v>
      </c>
      <c r="I331" s="108">
        <v>0</v>
      </c>
      <c r="J331" s="162">
        <v>0</v>
      </c>
      <c r="K331" s="162">
        <v>0</v>
      </c>
      <c r="L331" s="162">
        <v>0</v>
      </c>
      <c r="M331" s="108">
        <v>0</v>
      </c>
      <c r="N331" s="162">
        <v>0</v>
      </c>
      <c r="O331" s="162">
        <v>0</v>
      </c>
      <c r="P331" s="162">
        <v>0</v>
      </c>
      <c r="Q331" s="108">
        <v>0</v>
      </c>
      <c r="R331" s="108">
        <v>0</v>
      </c>
    </row>
    <row r="332" spans="1:18">
      <c r="A332" s="149" t="s">
        <v>170</v>
      </c>
      <c r="B332" s="162">
        <f>B27*$Y$6</f>
        <v>859.92000000000007</v>
      </c>
      <c r="C332" s="162">
        <f>C27*$Y$6</f>
        <v>767.2</v>
      </c>
      <c r="D332" s="162">
        <f>D27*$Y$6</f>
        <v>834.80000000000007</v>
      </c>
      <c r="E332" s="108">
        <f t="shared" ref="E332:E337" si="88">SUM(B332:D332)</f>
        <v>2461.92</v>
      </c>
      <c r="F332" s="162">
        <f>F27*$Y$6</f>
        <v>867.6</v>
      </c>
      <c r="G332" s="162">
        <f>G27*$Y$6</f>
        <v>991.56000000000006</v>
      </c>
      <c r="H332" s="162">
        <f>H27*$Y$6</f>
        <v>997.16</v>
      </c>
      <c r="I332" s="108">
        <f t="shared" ref="I332:I337" si="89">SUM(F332:H332)</f>
        <v>2856.32</v>
      </c>
      <c r="J332" s="162">
        <f>J27*$Y$6</f>
        <v>1006.44</v>
      </c>
      <c r="K332" s="162">
        <f>K27*$Y$6</f>
        <v>964.28</v>
      </c>
      <c r="L332" s="162">
        <f>L27*$Y$6</f>
        <v>920.24</v>
      </c>
      <c r="M332" s="108">
        <f t="shared" ref="M332:M337" si="90">SUM(J332:L332)</f>
        <v>2890.96</v>
      </c>
      <c r="N332" s="162">
        <f>N27*$Y$6</f>
        <v>853.88</v>
      </c>
      <c r="O332" s="162">
        <f>O27*$Y$6</f>
        <v>732.52</v>
      </c>
      <c r="P332" s="162">
        <f>P27*$Y$6</f>
        <v>716.32</v>
      </c>
      <c r="Q332" s="108">
        <f t="shared" ref="Q332:Q337" si="91">SUM(N332:P332)</f>
        <v>2302.7200000000003</v>
      </c>
      <c r="R332" s="108">
        <f t="shared" ref="R332:R337" si="92">SUM(E332+I332+M332+Q332)</f>
        <v>10511.920000000002</v>
      </c>
    </row>
    <row r="333" spans="1:18">
      <c r="A333" s="149" t="s">
        <v>172</v>
      </c>
      <c r="B333" s="162">
        <f>B28*$Y$14</f>
        <v>611.52</v>
      </c>
      <c r="C333" s="162">
        <f>C28*$Y$14</f>
        <v>555.6</v>
      </c>
      <c r="D333" s="162">
        <f>D28*$Y$14</f>
        <v>654.96</v>
      </c>
      <c r="E333" s="108">
        <f t="shared" si="88"/>
        <v>1822.08</v>
      </c>
      <c r="F333" s="162">
        <f>F28*$Y$14</f>
        <v>694.64</v>
      </c>
      <c r="G333" s="162">
        <f>G28*$Y$14</f>
        <v>689.44</v>
      </c>
      <c r="H333" s="162">
        <f>H28*$Y$14</f>
        <v>745.76</v>
      </c>
      <c r="I333" s="108">
        <f t="shared" si="89"/>
        <v>2129.84</v>
      </c>
      <c r="J333" s="162">
        <f>J28*$Y$14</f>
        <v>306.40000000000003</v>
      </c>
      <c r="K333" s="162">
        <f>K28*$Y$14</f>
        <v>651.20000000000005</v>
      </c>
      <c r="L333" s="162">
        <f>L28*$Y$14</f>
        <v>684.88</v>
      </c>
      <c r="M333" s="108">
        <f t="shared" si="90"/>
        <v>1642.48</v>
      </c>
      <c r="N333" s="162">
        <f>N28*$Y$14</f>
        <v>621.68000000000006</v>
      </c>
      <c r="O333" s="162">
        <f>O28*$Y$14</f>
        <v>608.4</v>
      </c>
      <c r="P333" s="162">
        <f>P28*$Y$14</f>
        <v>556.64</v>
      </c>
      <c r="Q333" s="108">
        <f t="shared" si="91"/>
        <v>1786.7199999999998</v>
      </c>
      <c r="R333" s="108">
        <f t="shared" si="92"/>
        <v>7381.119999999999</v>
      </c>
    </row>
    <row r="334" spans="1:18">
      <c r="A334" s="149" t="s">
        <v>175</v>
      </c>
      <c r="B334" s="162">
        <f>B29*$Y$22</f>
        <v>175.92000000000002</v>
      </c>
      <c r="C334" s="162">
        <f>C29*$Y$22</f>
        <v>164</v>
      </c>
      <c r="D334" s="162">
        <f>D29*$Y$22</f>
        <v>206.8</v>
      </c>
      <c r="E334" s="108">
        <f t="shared" si="88"/>
        <v>546.72</v>
      </c>
      <c r="F334" s="162">
        <f>F29*$Y$22</f>
        <v>256.64</v>
      </c>
      <c r="G334" s="162">
        <f>G29*$Y$22</f>
        <v>309.76</v>
      </c>
      <c r="H334" s="162">
        <f>H29*$Y$22</f>
        <v>327.2</v>
      </c>
      <c r="I334" s="108">
        <f t="shared" si="89"/>
        <v>893.59999999999991</v>
      </c>
      <c r="J334" s="162">
        <f>J29*$Y$22</f>
        <v>312.60000000000002</v>
      </c>
      <c r="K334" s="162">
        <f>K29*$Y$22</f>
        <v>323</v>
      </c>
      <c r="L334" s="162">
        <f>L29*$Y$22</f>
        <v>314</v>
      </c>
      <c r="M334" s="108">
        <f t="shared" si="90"/>
        <v>949.6</v>
      </c>
      <c r="N334" s="162">
        <f>N29*$Y$22</f>
        <v>249.92000000000002</v>
      </c>
      <c r="O334" s="162">
        <f>O29*$Y$22</f>
        <v>225.04</v>
      </c>
      <c r="P334" s="162">
        <f>P29*$Y$22</f>
        <v>160.64000000000001</v>
      </c>
      <c r="Q334" s="108">
        <f t="shared" si="91"/>
        <v>635.6</v>
      </c>
      <c r="R334" s="108">
        <f t="shared" si="92"/>
        <v>3025.52</v>
      </c>
    </row>
    <row r="335" spans="1:18">
      <c r="A335" s="149" t="s">
        <v>177</v>
      </c>
      <c r="B335" s="162">
        <f>B30*$Y$31</f>
        <v>53.76</v>
      </c>
      <c r="C335" s="162">
        <f>C30*$Y$31</f>
        <v>51.76</v>
      </c>
      <c r="D335" s="162">
        <f>D30*$Y$31</f>
        <v>63.52</v>
      </c>
      <c r="E335" s="108">
        <f t="shared" si="88"/>
        <v>169.04</v>
      </c>
      <c r="F335" s="162">
        <f>F30*$Y$31</f>
        <v>81.552000000000007</v>
      </c>
      <c r="G335" s="162">
        <f>G30*$Y$31</f>
        <v>114.048</v>
      </c>
      <c r="H335" s="162">
        <f>H30*$Y$31</f>
        <v>104.64</v>
      </c>
      <c r="I335" s="108">
        <f t="shared" si="89"/>
        <v>300.24</v>
      </c>
      <c r="J335" s="162">
        <f>J30*$Y$31</f>
        <v>49.84</v>
      </c>
      <c r="K335" s="162">
        <f>K30*$Y$31</f>
        <v>50.72</v>
      </c>
      <c r="L335" s="162">
        <f>L30*$Y$31</f>
        <v>44.800000000000004</v>
      </c>
      <c r="M335" s="108">
        <f t="shared" si="90"/>
        <v>145.36000000000001</v>
      </c>
      <c r="N335" s="162">
        <f>N30*$Y$31</f>
        <v>39.68</v>
      </c>
      <c r="O335" s="162">
        <f>O30*$Y$31</f>
        <v>35.119999999999997</v>
      </c>
      <c r="P335" s="162">
        <f>P30*$Y$31</f>
        <v>39.28</v>
      </c>
      <c r="Q335" s="108">
        <f t="shared" si="91"/>
        <v>114.08</v>
      </c>
      <c r="R335" s="108">
        <f t="shared" si="92"/>
        <v>728.72</v>
      </c>
    </row>
    <row r="336" spans="1:18">
      <c r="A336" s="86" t="s">
        <v>138</v>
      </c>
      <c r="B336" s="108">
        <f>SUM(B332:B335)</f>
        <v>1701.1200000000001</v>
      </c>
      <c r="C336" s="108">
        <f>SUM(C332:C335)</f>
        <v>1538.5600000000002</v>
      </c>
      <c r="D336" s="108">
        <f>SUM(D332:D335)</f>
        <v>1760.0800000000002</v>
      </c>
      <c r="E336" s="108">
        <f t="shared" si="88"/>
        <v>4999.76</v>
      </c>
      <c r="F336" s="108">
        <f>SUM(F332:F335)</f>
        <v>1900.432</v>
      </c>
      <c r="G336" s="108">
        <f>SUM(G332:G335)</f>
        <v>2104.808</v>
      </c>
      <c r="H336" s="108">
        <f>SUM(H332:H335)</f>
        <v>2174.7599999999998</v>
      </c>
      <c r="I336" s="108">
        <f t="shared" si="89"/>
        <v>6180</v>
      </c>
      <c r="J336" s="108">
        <f>SUM(J332:J335)</f>
        <v>1675.28</v>
      </c>
      <c r="K336" s="108">
        <f>SUM(K332:K335)</f>
        <v>1989.2</v>
      </c>
      <c r="L336" s="108">
        <f>SUM(L332:L335)</f>
        <v>1963.9199999999998</v>
      </c>
      <c r="M336" s="108">
        <f t="shared" si="90"/>
        <v>5628.4</v>
      </c>
      <c r="N336" s="108">
        <f>SUM(N332:N335)</f>
        <v>1765.16</v>
      </c>
      <c r="O336" s="108">
        <f>SUM(O332:O335)</f>
        <v>1601.08</v>
      </c>
      <c r="P336" s="108">
        <f>SUM(P332:P335)</f>
        <v>1472.88</v>
      </c>
      <c r="Q336" s="108">
        <f t="shared" si="91"/>
        <v>4839.12</v>
      </c>
      <c r="R336" s="108">
        <f t="shared" si="92"/>
        <v>21647.279999999999</v>
      </c>
    </row>
    <row r="337" spans="1:18">
      <c r="A337" s="86" t="s">
        <v>139</v>
      </c>
      <c r="B337" s="108">
        <f>SUM(B336-B330)</f>
        <v>-1322.8799999999999</v>
      </c>
      <c r="C337" s="108">
        <f>SUM(C336-C330)</f>
        <v>-1485.4399999999998</v>
      </c>
      <c r="D337" s="108">
        <f>SUM(D336-D330)</f>
        <v>-1263.9199999999998</v>
      </c>
      <c r="E337" s="108">
        <f t="shared" si="88"/>
        <v>-4072.24</v>
      </c>
      <c r="F337" s="108">
        <f>SUM(F336-F330)</f>
        <v>-1123.568</v>
      </c>
      <c r="G337" s="108">
        <f>SUM(G336-G330)</f>
        <v>-919.19200000000001</v>
      </c>
      <c r="H337" s="108">
        <f>SUM(H336-H330)</f>
        <v>-849.24000000000024</v>
      </c>
      <c r="I337" s="108">
        <f t="shared" si="89"/>
        <v>-2892</v>
      </c>
      <c r="J337" s="108">
        <f>SUM(J336-J330)</f>
        <v>-1348.72</v>
      </c>
      <c r="K337" s="108">
        <f>SUM(K336-K330)</f>
        <v>-1034.8</v>
      </c>
      <c r="L337" s="108">
        <f>SUM(L336-L330)</f>
        <v>-1060.0800000000002</v>
      </c>
      <c r="M337" s="108">
        <f t="shared" si="90"/>
        <v>-3443.6000000000004</v>
      </c>
      <c r="N337" s="108">
        <f>SUM(N336-N330)</f>
        <v>-1258.8399999999999</v>
      </c>
      <c r="O337" s="108">
        <f>SUM(O336-O330)</f>
        <v>-1422.92</v>
      </c>
      <c r="P337" s="108">
        <f>SUM(P336-P330)</f>
        <v>-1551.12</v>
      </c>
      <c r="Q337" s="108">
        <f t="shared" si="91"/>
        <v>-4232.88</v>
      </c>
      <c r="R337" s="108">
        <f t="shared" si="92"/>
        <v>-14640.720000000001</v>
      </c>
    </row>
    <row r="343" spans="1:18">
      <c r="A343" s="106" t="s">
        <v>184</v>
      </c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</row>
    <row r="344" spans="1:18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</row>
    <row r="345" spans="1:18">
      <c r="A345" s="141" t="s">
        <v>3</v>
      </c>
      <c r="B345" s="102" t="s">
        <v>4</v>
      </c>
      <c r="C345" s="102" t="s">
        <v>5</v>
      </c>
      <c r="D345" s="102" t="s">
        <v>6</v>
      </c>
      <c r="E345" s="102" t="s">
        <v>7</v>
      </c>
      <c r="F345" s="102" t="s">
        <v>8</v>
      </c>
      <c r="G345" s="102" t="s">
        <v>9</v>
      </c>
      <c r="H345" s="102" t="s">
        <v>10</v>
      </c>
      <c r="I345" s="102" t="s">
        <v>11</v>
      </c>
      <c r="J345" s="102" t="s">
        <v>12</v>
      </c>
      <c r="K345" s="102" t="s">
        <v>67</v>
      </c>
      <c r="L345" s="102" t="s">
        <v>68</v>
      </c>
      <c r="M345" s="102" t="s">
        <v>15</v>
      </c>
      <c r="N345" s="102" t="s">
        <v>16</v>
      </c>
      <c r="O345" s="102" t="s">
        <v>17</v>
      </c>
      <c r="P345" s="102" t="s">
        <v>18</v>
      </c>
      <c r="Q345" s="102" t="s">
        <v>69</v>
      </c>
      <c r="R345" s="102" t="s">
        <v>44</v>
      </c>
    </row>
    <row r="346" spans="1:18">
      <c r="A346" s="86" t="s">
        <v>125</v>
      </c>
      <c r="B346" s="94">
        <f t="shared" ref="B346:R346" si="93">$V$310*(B300)</f>
        <v>569.57142857142856</v>
      </c>
      <c r="C346" s="94">
        <f t="shared" si="93"/>
        <v>515.14285714285711</v>
      </c>
      <c r="D346" s="94">
        <f t="shared" si="93"/>
        <v>589.3125</v>
      </c>
      <c r="E346" s="86">
        <f t="shared" si="93"/>
        <v>1674.0267857142858</v>
      </c>
      <c r="F346" s="94">
        <f t="shared" si="93"/>
        <v>636.30535714285713</v>
      </c>
      <c r="G346" s="94">
        <f t="shared" si="93"/>
        <v>704.73482142857142</v>
      </c>
      <c r="H346" s="94">
        <f t="shared" si="93"/>
        <v>728.15624999999989</v>
      </c>
      <c r="I346" s="86">
        <f t="shared" si="93"/>
        <v>2069.1964285714284</v>
      </c>
      <c r="J346" s="94">
        <f t="shared" si="93"/>
        <v>560.91964285714278</v>
      </c>
      <c r="K346" s="94">
        <f t="shared" si="93"/>
        <v>666.02678571428567</v>
      </c>
      <c r="L346" s="94">
        <f t="shared" si="93"/>
        <v>657.56249999999989</v>
      </c>
      <c r="M346" s="86">
        <f t="shared" si="93"/>
        <v>1884.5089285714282</v>
      </c>
      <c r="N346" s="94">
        <f t="shared" si="93"/>
        <v>591.01339285714289</v>
      </c>
      <c r="O346" s="94">
        <f t="shared" si="93"/>
        <v>536.07589285714278</v>
      </c>
      <c r="P346" s="94">
        <f t="shared" si="93"/>
        <v>493.15178571428572</v>
      </c>
      <c r="Q346" s="86">
        <f t="shared" si="93"/>
        <v>1620.2410714285713</v>
      </c>
      <c r="R346" s="86">
        <f t="shared" si="93"/>
        <v>7247.9732142857138</v>
      </c>
    </row>
    <row r="347" spans="1:18">
      <c r="A347" s="86" t="s">
        <v>140</v>
      </c>
      <c r="B347" s="94">
        <f t="shared" ref="B347:R347" si="94">$W$310*(B312)</f>
        <v>63.78163537851038</v>
      </c>
      <c r="C347" s="94">
        <f t="shared" si="94"/>
        <v>57.659911731786728</v>
      </c>
      <c r="D347" s="94">
        <f t="shared" si="94"/>
        <v>65.774081705331696</v>
      </c>
      <c r="E347" s="86">
        <f t="shared" si="94"/>
        <v>187.2156288156288</v>
      </c>
      <c r="F347" s="94">
        <f t="shared" si="94"/>
        <v>71.096204466829462</v>
      </c>
      <c r="G347" s="94">
        <f t="shared" si="94"/>
        <v>79.41468533781034</v>
      </c>
      <c r="H347" s="94">
        <f t="shared" si="94"/>
        <v>81.755470339845346</v>
      </c>
      <c r="I347" s="86">
        <f t="shared" si="94"/>
        <v>232.26636014448513</v>
      </c>
      <c r="J347" s="94">
        <f t="shared" si="94"/>
        <v>65.259735576923077</v>
      </c>
      <c r="K347" s="94">
        <f t="shared" si="94"/>
        <v>75.026687143874653</v>
      </c>
      <c r="L347" s="94">
        <f t="shared" si="94"/>
        <v>73.711747049247052</v>
      </c>
      <c r="M347" s="86">
        <f t="shared" si="94"/>
        <v>213.99816977004477</v>
      </c>
      <c r="N347" s="94">
        <f t="shared" si="94"/>
        <v>66.229657610907609</v>
      </c>
      <c r="O347" s="94">
        <f t="shared" si="94"/>
        <v>59.686417633292635</v>
      </c>
      <c r="P347" s="94">
        <f t="shared" si="94"/>
        <v>54.978825803825799</v>
      </c>
      <c r="Q347" s="86">
        <f t="shared" si="94"/>
        <v>180.89490104802604</v>
      </c>
      <c r="R347" s="86">
        <f t="shared" si="94"/>
        <v>814.37505977818466</v>
      </c>
    </row>
    <row r="348" spans="1:18">
      <c r="A348" s="86" t="s">
        <v>142</v>
      </c>
      <c r="B348" s="94">
        <f t="shared" ref="B348:R348" si="95">$X$310*(B324)</f>
        <v>254.46130952380952</v>
      </c>
      <c r="C348" s="94">
        <f t="shared" si="95"/>
        <v>230.14484126984127</v>
      </c>
      <c r="D348" s="94">
        <f t="shared" si="95"/>
        <v>256.78286210317458</v>
      </c>
      <c r="E348" s="86">
        <f t="shared" si="95"/>
        <v>741.38901289682542</v>
      </c>
      <c r="F348" s="94">
        <f t="shared" si="95"/>
        <v>284.27531001984124</v>
      </c>
      <c r="G348" s="94">
        <f t="shared" si="95"/>
        <v>314.8468067956349</v>
      </c>
      <c r="H348" s="94">
        <f t="shared" si="95"/>
        <v>325.31054687499994</v>
      </c>
      <c r="I348" s="86">
        <f t="shared" si="95"/>
        <v>924.43266369047615</v>
      </c>
      <c r="J348" s="94">
        <f t="shared" si="95"/>
        <v>250.59604414682536</v>
      </c>
      <c r="K348" s="94">
        <f t="shared" si="95"/>
        <v>297.55363343253964</v>
      </c>
      <c r="L348" s="94">
        <f t="shared" si="95"/>
        <v>293.77213541666663</v>
      </c>
      <c r="M348" s="86">
        <f t="shared" si="95"/>
        <v>841.92181299603158</v>
      </c>
      <c r="N348" s="94">
        <f t="shared" si="95"/>
        <v>264.04070560515873</v>
      </c>
      <c r="O348" s="94">
        <f t="shared" si="95"/>
        <v>239.49686879960313</v>
      </c>
      <c r="P348" s="94">
        <f t="shared" si="95"/>
        <v>220.32012648809524</v>
      </c>
      <c r="Q348" s="86">
        <f t="shared" si="95"/>
        <v>723.85770089285711</v>
      </c>
      <c r="R348" s="86">
        <f t="shared" si="95"/>
        <v>3231.6011904761904</v>
      </c>
    </row>
    <row r="349" spans="1:18">
      <c r="A349" s="86" t="s">
        <v>144</v>
      </c>
      <c r="B349" s="94">
        <f t="shared" ref="B349:R349" si="96">$Y$310*(B336)</f>
        <v>4206.3904761904769</v>
      </c>
      <c r="C349" s="94">
        <f t="shared" si="96"/>
        <v>3804.4253968253975</v>
      </c>
      <c r="D349" s="94">
        <f t="shared" si="96"/>
        <v>4352.1819444444445</v>
      </c>
      <c r="E349" s="86">
        <f t="shared" si="96"/>
        <v>12362.997817460318</v>
      </c>
      <c r="F349" s="94">
        <f t="shared" si="96"/>
        <v>4699.2328968253969</v>
      </c>
      <c r="G349" s="94">
        <f t="shared" si="96"/>
        <v>5204.5971626984128</v>
      </c>
      <c r="H349" s="94">
        <f t="shared" si="96"/>
        <v>5377.5687499999995</v>
      </c>
      <c r="I349" s="86">
        <f t="shared" si="96"/>
        <v>15281.398809523809</v>
      </c>
      <c r="J349" s="94">
        <f t="shared" si="96"/>
        <v>4142.4954365079366</v>
      </c>
      <c r="K349" s="94">
        <f t="shared" si="96"/>
        <v>4918.7311507936511</v>
      </c>
      <c r="L349" s="94">
        <f t="shared" si="96"/>
        <v>4856.2208333333328</v>
      </c>
      <c r="M349" s="86">
        <f t="shared" si="96"/>
        <v>13917.44742063492</v>
      </c>
      <c r="N349" s="94">
        <f t="shared" si="96"/>
        <v>4364.7433531746037</v>
      </c>
      <c r="O349" s="94">
        <f t="shared" si="96"/>
        <v>3959.0197420634918</v>
      </c>
      <c r="P349" s="94">
        <f t="shared" si="96"/>
        <v>3642.0172619047621</v>
      </c>
      <c r="Q349" s="86">
        <f t="shared" si="96"/>
        <v>11965.780357142858</v>
      </c>
      <c r="R349" s="86">
        <f t="shared" si="96"/>
        <v>53527.624404761904</v>
      </c>
    </row>
    <row r="354" spans="1:18">
      <c r="A354" s="106" t="s">
        <v>185</v>
      </c>
      <c r="B354" s="106"/>
      <c r="C354" s="106"/>
      <c r="D354" s="106"/>
      <c r="E354" s="106"/>
      <c r="F354" s="96"/>
    </row>
    <row r="355" spans="1:18">
      <c r="A355" s="86"/>
      <c r="B355" s="86"/>
      <c r="C355" s="86"/>
      <c r="D355" s="86"/>
      <c r="E355" s="86"/>
      <c r="F355" s="96"/>
    </row>
    <row r="356" spans="1:18">
      <c r="A356" s="141" t="s">
        <v>3</v>
      </c>
      <c r="B356" s="102" t="s">
        <v>186</v>
      </c>
      <c r="C356" s="102" t="s">
        <v>187</v>
      </c>
      <c r="D356" s="102" t="s">
        <v>188</v>
      </c>
      <c r="E356" s="102" t="s">
        <v>189</v>
      </c>
      <c r="F356" s="176" t="s">
        <v>20</v>
      </c>
    </row>
    <row r="357" spans="1:18">
      <c r="A357" s="96" t="s">
        <v>101</v>
      </c>
      <c r="B357" s="86">
        <f>V6*V310</f>
        <v>2.6785714285714284E-2</v>
      </c>
      <c r="C357" s="86">
        <f>W6*W310</f>
        <v>3.2585470085470082E-3</v>
      </c>
      <c r="D357" s="86">
        <f>X6*X310</f>
        <v>1.1966765873015872E-2</v>
      </c>
      <c r="E357" s="86">
        <f t="shared" ref="E357" si="97">Y6*Y310</f>
        <v>0.19781746031746031</v>
      </c>
      <c r="F357" s="86">
        <f>E357+D357+C357+B357</f>
        <v>0.23982848748473745</v>
      </c>
    </row>
    <row r="358" spans="1:18">
      <c r="A358" s="96" t="s">
        <v>152</v>
      </c>
      <c r="B358" s="86">
        <f>V14*V310</f>
        <v>2.6785714285714284E-2</v>
      </c>
      <c r="C358" s="86">
        <f>W14*W310</f>
        <v>2.5602869352869353E-3</v>
      </c>
      <c r="D358" s="152">
        <f t="shared" ref="D358:E358" si="98">X14*X310</f>
        <v>1.1966765873015872E-2</v>
      </c>
      <c r="E358" s="86">
        <f t="shared" si="98"/>
        <v>0.19781746031746031</v>
      </c>
      <c r="F358" s="152">
        <f>E358+D358+C358+B358</f>
        <v>0.23913022741147738</v>
      </c>
    </row>
    <row r="359" spans="1:18">
      <c r="A359" s="96" t="s">
        <v>153</v>
      </c>
      <c r="B359" s="153">
        <f>V22*V310</f>
        <v>2.6785714285714284E-2</v>
      </c>
      <c r="C359" s="153">
        <f t="shared" ref="C359:E359" si="99">W22*W310</f>
        <v>3.1809625559625558E-3</v>
      </c>
      <c r="D359" s="153">
        <f t="shared" si="99"/>
        <v>1.1966765873015872E-2</v>
      </c>
      <c r="E359" s="138">
        <f t="shared" si="99"/>
        <v>0.19781746031746031</v>
      </c>
      <c r="F359" s="152">
        <f>E359+D359+C359+B359</f>
        <v>0.23975090303215302</v>
      </c>
    </row>
    <row r="360" spans="1:18">
      <c r="A360" s="96" t="s">
        <v>154</v>
      </c>
      <c r="B360" s="138">
        <f>V31*V310</f>
        <v>2.6785714285714284E-2</v>
      </c>
      <c r="C360" s="138">
        <f t="shared" ref="C360:D360" si="100">W31*W310</f>
        <v>3.2585470085470082E-3</v>
      </c>
      <c r="D360" s="138">
        <f t="shared" si="100"/>
        <v>1.1966765873015872E-2</v>
      </c>
      <c r="E360" s="138">
        <f>Y31*Y310</f>
        <v>0.19781746031746031</v>
      </c>
      <c r="F360" s="86">
        <f>E360+D360+C360+B360</f>
        <v>0.23982848748473745</v>
      </c>
    </row>
    <row r="361" spans="1:18">
      <c r="A361" s="147" t="s">
        <v>44</v>
      </c>
      <c r="B361" s="152">
        <f>B357+B358+B359+B360</f>
        <v>0.10714285714285714</v>
      </c>
      <c r="C361" s="96">
        <f t="shared" ref="C361:E361" si="101">C357+C358+C359+C360</f>
        <v>1.2258343508343508E-2</v>
      </c>
      <c r="D361" s="96">
        <f t="shared" si="101"/>
        <v>4.7867063492063489E-2</v>
      </c>
      <c r="E361" s="96">
        <f t="shared" si="101"/>
        <v>0.79126984126984123</v>
      </c>
      <c r="F361" s="152">
        <f>E361+D361+C361+B361</f>
        <v>0.95853810541310536</v>
      </c>
    </row>
    <row r="365" spans="1:18">
      <c r="A365" s="106" t="s">
        <v>190</v>
      </c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</row>
    <row r="366" spans="1:18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</row>
    <row r="367" spans="1:18">
      <c r="A367" s="88" t="s">
        <v>3</v>
      </c>
      <c r="B367" s="102" t="s">
        <v>4</v>
      </c>
      <c r="C367" s="102" t="s">
        <v>5</v>
      </c>
      <c r="D367" s="102" t="s">
        <v>6</v>
      </c>
      <c r="E367" s="102" t="s">
        <v>7</v>
      </c>
      <c r="F367" s="102" t="s">
        <v>8</v>
      </c>
      <c r="G367" s="102" t="s">
        <v>9</v>
      </c>
      <c r="H367" s="102" t="s">
        <v>10</v>
      </c>
      <c r="I367" s="102" t="s">
        <v>11</v>
      </c>
      <c r="J367" s="102" t="s">
        <v>12</v>
      </c>
      <c r="K367" s="102" t="s">
        <v>67</v>
      </c>
      <c r="L367" s="102" t="s">
        <v>68</v>
      </c>
      <c r="M367" s="102" t="s">
        <v>15</v>
      </c>
      <c r="N367" s="102" t="s">
        <v>16</v>
      </c>
      <c r="O367" s="102" t="s">
        <v>17</v>
      </c>
      <c r="P367" s="102" t="s">
        <v>18</v>
      </c>
      <c r="Q367" s="102" t="s">
        <v>69</v>
      </c>
      <c r="R367" s="102" t="s">
        <v>44</v>
      </c>
    </row>
    <row r="368" spans="1:18">
      <c r="A368" s="186" t="s">
        <v>191</v>
      </c>
      <c r="B368" s="179">
        <f>B417</f>
        <v>16.058800000000002</v>
      </c>
      <c r="C368" s="179">
        <f t="shared" ref="C368:R368" si="102">C417</f>
        <v>16.058800000000002</v>
      </c>
      <c r="D368" s="179">
        <f t="shared" si="102"/>
        <v>16.058800000000002</v>
      </c>
      <c r="E368" s="86">
        <f t="shared" si="102"/>
        <v>48.176400000000001</v>
      </c>
      <c r="F368" s="94">
        <f t="shared" si="102"/>
        <v>16.058800000000002</v>
      </c>
      <c r="G368" s="94">
        <f t="shared" si="102"/>
        <v>16.058800000000002</v>
      </c>
      <c r="H368" s="94">
        <f t="shared" si="102"/>
        <v>16.058800000000002</v>
      </c>
      <c r="I368" s="86">
        <f t="shared" si="102"/>
        <v>48.176400000000001</v>
      </c>
      <c r="J368" s="94">
        <f t="shared" si="102"/>
        <v>16.024999999999999</v>
      </c>
      <c r="K368" s="94">
        <f t="shared" si="102"/>
        <v>16.024999999999999</v>
      </c>
      <c r="L368" s="94">
        <f t="shared" si="102"/>
        <v>16.024999999999999</v>
      </c>
      <c r="M368" s="86">
        <f t="shared" si="102"/>
        <v>48.075000000000003</v>
      </c>
      <c r="N368" s="94">
        <f t="shared" si="102"/>
        <v>16.024999999999999</v>
      </c>
      <c r="O368" s="94">
        <f t="shared" si="102"/>
        <v>16.024999999999999</v>
      </c>
      <c r="P368" s="94">
        <f t="shared" si="102"/>
        <v>16.024999999999999</v>
      </c>
      <c r="Q368" s="86">
        <f t="shared" si="102"/>
        <v>48.075000000000003</v>
      </c>
      <c r="R368" s="86">
        <f t="shared" si="102"/>
        <v>192.50280000000001</v>
      </c>
    </row>
    <row r="369" spans="1:18">
      <c r="A369" s="186" t="s">
        <v>192</v>
      </c>
      <c r="B369" s="179">
        <f t="shared" ref="B369:R369" si="103">($V$5+$W$5+$X$5+$Y$5)*B206</f>
        <v>11.2</v>
      </c>
      <c r="C369" s="179">
        <f t="shared" si="103"/>
        <v>11.2</v>
      </c>
      <c r="D369" s="179">
        <f t="shared" si="103"/>
        <v>11.2</v>
      </c>
      <c r="E369" s="86">
        <f t="shared" si="103"/>
        <v>33.599999999999994</v>
      </c>
      <c r="F369" s="94">
        <f t="shared" si="103"/>
        <v>11.2</v>
      </c>
      <c r="G369" s="94">
        <f t="shared" si="103"/>
        <v>11.2</v>
      </c>
      <c r="H369" s="94">
        <f t="shared" si="103"/>
        <v>11.2</v>
      </c>
      <c r="I369" s="86">
        <f t="shared" si="103"/>
        <v>33.599999999999994</v>
      </c>
      <c r="J369" s="94">
        <f t="shared" si="103"/>
        <v>11.2</v>
      </c>
      <c r="K369" s="94">
        <f t="shared" si="103"/>
        <v>11.2</v>
      </c>
      <c r="L369" s="94">
        <f t="shared" si="103"/>
        <v>11.2</v>
      </c>
      <c r="M369" s="86">
        <f t="shared" si="103"/>
        <v>33.599999999999994</v>
      </c>
      <c r="N369" s="94">
        <f t="shared" si="103"/>
        <v>11.2</v>
      </c>
      <c r="O369" s="94">
        <f t="shared" si="103"/>
        <v>11.2</v>
      </c>
      <c r="P369" s="94">
        <f t="shared" si="103"/>
        <v>11.2</v>
      </c>
      <c r="Q369" s="86">
        <f t="shared" si="103"/>
        <v>33.599999999999994</v>
      </c>
      <c r="R369" s="86">
        <f t="shared" si="103"/>
        <v>134.39999999999998</v>
      </c>
    </row>
    <row r="370" spans="1:18">
      <c r="A370" s="149" t="s">
        <v>193</v>
      </c>
      <c r="B370" s="179">
        <f>$F$357</f>
        <v>0.23982848748473745</v>
      </c>
      <c r="C370" s="179">
        <f t="shared" ref="C370:P370" si="104">$F$357</f>
        <v>0.23982848748473745</v>
      </c>
      <c r="D370" s="179">
        <f t="shared" si="104"/>
        <v>0.23982848748473745</v>
      </c>
      <c r="E370" s="173">
        <f>D370+C370+B370</f>
        <v>0.71948546245421241</v>
      </c>
      <c r="F370" s="94">
        <f t="shared" si="104"/>
        <v>0.23982848748473745</v>
      </c>
      <c r="G370" s="94">
        <f t="shared" si="104"/>
        <v>0.23982848748473745</v>
      </c>
      <c r="H370" s="94">
        <f t="shared" si="104"/>
        <v>0.23982848748473745</v>
      </c>
      <c r="I370" s="86">
        <f>H370+G370+F370</f>
        <v>0.71948546245421241</v>
      </c>
      <c r="J370" s="94">
        <f t="shared" si="104"/>
        <v>0.23982848748473745</v>
      </c>
      <c r="K370" s="94">
        <f t="shared" si="104"/>
        <v>0.23982848748473745</v>
      </c>
      <c r="L370" s="94">
        <f t="shared" si="104"/>
        <v>0.23982848748473745</v>
      </c>
      <c r="M370" s="86">
        <f>L370+K370+J370</f>
        <v>0.71948546245421241</v>
      </c>
      <c r="N370" s="94">
        <f t="shared" si="104"/>
        <v>0.23982848748473745</v>
      </c>
      <c r="O370" s="94">
        <f t="shared" si="104"/>
        <v>0.23982848748473745</v>
      </c>
      <c r="P370" s="94">
        <f t="shared" si="104"/>
        <v>0.23982848748473745</v>
      </c>
      <c r="Q370" s="86">
        <f>P370+O370+N370</f>
        <v>0.71948546245421241</v>
      </c>
      <c r="R370" s="86">
        <f>Q370+M370+I370+E370</f>
        <v>2.8779418498168496</v>
      </c>
    </row>
    <row r="371" spans="1:18">
      <c r="A371" s="178" t="s">
        <v>42</v>
      </c>
      <c r="B371" s="86">
        <f t="shared" ref="B371:Q371" si="105">B368+B369+B370</f>
        <v>27.498628487484737</v>
      </c>
      <c r="C371" s="86">
        <f t="shared" si="105"/>
        <v>27.498628487484737</v>
      </c>
      <c r="D371" s="86">
        <f t="shared" si="105"/>
        <v>27.498628487484737</v>
      </c>
      <c r="E371" s="86">
        <f t="shared" si="105"/>
        <v>82.495885462454211</v>
      </c>
      <c r="F371" s="86">
        <f t="shared" si="105"/>
        <v>27.498628487484737</v>
      </c>
      <c r="G371" s="86">
        <f t="shared" si="105"/>
        <v>27.498628487484737</v>
      </c>
      <c r="H371" s="86">
        <f t="shared" si="105"/>
        <v>27.498628487484737</v>
      </c>
      <c r="I371" s="86">
        <f t="shared" si="105"/>
        <v>82.495885462454211</v>
      </c>
      <c r="J371" s="86">
        <f t="shared" si="105"/>
        <v>27.464828487484734</v>
      </c>
      <c r="K371" s="86">
        <f t="shared" si="105"/>
        <v>27.464828487484734</v>
      </c>
      <c r="L371" s="86">
        <f t="shared" si="105"/>
        <v>27.464828487484734</v>
      </c>
      <c r="M371" s="86">
        <f t="shared" si="105"/>
        <v>82.394485462454213</v>
      </c>
      <c r="N371" s="86">
        <f t="shared" si="105"/>
        <v>27.464828487484734</v>
      </c>
      <c r="O371" s="86">
        <f t="shared" si="105"/>
        <v>27.464828487484734</v>
      </c>
      <c r="P371" s="86">
        <f t="shared" si="105"/>
        <v>27.464828487484734</v>
      </c>
      <c r="Q371" s="86">
        <f t="shared" si="105"/>
        <v>82.394485462454213</v>
      </c>
      <c r="R371" s="86">
        <f>Q371+M371+I371+E371</f>
        <v>329.78074184981688</v>
      </c>
    </row>
    <row r="376" spans="1:18">
      <c r="A376" s="106" t="s">
        <v>194</v>
      </c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</row>
    <row r="377" spans="1:18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</row>
    <row r="378" spans="1:18">
      <c r="A378" s="88" t="s">
        <v>3</v>
      </c>
      <c r="B378" s="102" t="s">
        <v>4</v>
      </c>
      <c r="C378" s="102" t="s">
        <v>5</v>
      </c>
      <c r="D378" s="102" t="s">
        <v>6</v>
      </c>
      <c r="E378" s="102" t="s">
        <v>7</v>
      </c>
      <c r="F378" s="102" t="s">
        <v>8</v>
      </c>
      <c r="G378" s="102" t="s">
        <v>9</v>
      </c>
      <c r="H378" s="102" t="s">
        <v>10</v>
      </c>
      <c r="I378" s="102" t="s">
        <v>11</v>
      </c>
      <c r="J378" s="102" t="s">
        <v>12</v>
      </c>
      <c r="K378" s="102" t="s">
        <v>67</v>
      </c>
      <c r="L378" s="102" t="s">
        <v>68</v>
      </c>
      <c r="M378" s="102" t="s">
        <v>15</v>
      </c>
      <c r="N378" s="102" t="s">
        <v>16</v>
      </c>
      <c r="O378" s="102" t="s">
        <v>17</v>
      </c>
      <c r="P378" s="102" t="s">
        <v>18</v>
      </c>
      <c r="Q378" s="102" t="s">
        <v>69</v>
      </c>
      <c r="R378" s="102" t="s">
        <v>44</v>
      </c>
    </row>
    <row r="379" spans="1:18">
      <c r="A379" s="186" t="s">
        <v>191</v>
      </c>
      <c r="B379" s="94">
        <f>B422</f>
        <v>14.216699999999999</v>
      </c>
      <c r="C379" s="94">
        <f>C422</f>
        <v>14.216699999999999</v>
      </c>
      <c r="D379" s="94">
        <f>D422</f>
        <v>14.216699999999999</v>
      </c>
      <c r="E379" s="86">
        <f>SUM(B379:D379)</f>
        <v>42.650099999999995</v>
      </c>
      <c r="F379" s="94">
        <f>F422</f>
        <v>14.216699999999999</v>
      </c>
      <c r="G379" s="94">
        <f>G422</f>
        <v>14.216699999999999</v>
      </c>
      <c r="H379" s="94">
        <f>H422</f>
        <v>14.216699999999999</v>
      </c>
      <c r="I379" s="86">
        <f>SUM(F379:H379)</f>
        <v>42.650099999999995</v>
      </c>
      <c r="J379" s="94">
        <f>J422</f>
        <v>14.188500000000001</v>
      </c>
      <c r="K379" s="94">
        <f>K422</f>
        <v>14.188500000000001</v>
      </c>
      <c r="L379" s="94">
        <f>L422</f>
        <v>14.188500000000001</v>
      </c>
      <c r="M379" s="86">
        <f>SUM(J379:L379)</f>
        <v>42.5655</v>
      </c>
      <c r="N379" s="94">
        <f>N422</f>
        <v>14.188500000000001</v>
      </c>
      <c r="O379" s="94">
        <f>O422</f>
        <v>14.188500000000001</v>
      </c>
      <c r="P379" s="94">
        <f>P422</f>
        <v>14.188500000000001</v>
      </c>
      <c r="Q379" s="86">
        <f>SUM(N379:P379)</f>
        <v>42.5655</v>
      </c>
      <c r="R379" s="86">
        <f>SUM(E379+I379+M379+Q379)</f>
        <v>170.43119999999999</v>
      </c>
    </row>
    <row r="380" spans="1:18">
      <c r="A380" s="186" t="s">
        <v>192</v>
      </c>
      <c r="B380" s="94">
        <f t="shared" ref="B380:H380" si="106">($V$13+$W$13+$X$13+$Y$13)*B206</f>
        <v>9.7600000000000016</v>
      </c>
      <c r="C380" s="94">
        <f t="shared" si="106"/>
        <v>9.7600000000000016</v>
      </c>
      <c r="D380" s="94">
        <f t="shared" si="106"/>
        <v>9.7600000000000016</v>
      </c>
      <c r="E380" s="149">
        <f t="shared" si="106"/>
        <v>29.280000000000005</v>
      </c>
      <c r="F380" s="94">
        <f t="shared" si="106"/>
        <v>9.7600000000000016</v>
      </c>
      <c r="G380" s="94">
        <f t="shared" si="106"/>
        <v>9.7600000000000016</v>
      </c>
      <c r="H380" s="94">
        <f t="shared" si="106"/>
        <v>9.7600000000000016</v>
      </c>
      <c r="I380" s="86">
        <f>SUM(F380:H380)</f>
        <v>29.280000000000005</v>
      </c>
      <c r="J380" s="94">
        <f>($V$13+$W$13+$X$13+$Y$13)*J206</f>
        <v>9.7600000000000016</v>
      </c>
      <c r="K380" s="94">
        <f>($V$13+$W$13+$X$13+$Y$13)*K206</f>
        <v>9.7600000000000016</v>
      </c>
      <c r="L380" s="94">
        <f>($V$13+$W$13+$X$13+$Y$13)*L206</f>
        <v>9.7600000000000016</v>
      </c>
      <c r="M380" s="86">
        <f>SUM(J380:L380)</f>
        <v>29.280000000000005</v>
      </c>
      <c r="N380" s="94">
        <f>($V$13+$W$13+$X$13+$Y$13)*N206</f>
        <v>9.7600000000000016</v>
      </c>
      <c r="O380" s="94">
        <f>($V$13+$W$13+$X$13+$Y$13)*O206</f>
        <v>9.7600000000000016</v>
      </c>
      <c r="P380" s="94">
        <f>($V$13+$W$13+$X$13+$Y$13)*P206</f>
        <v>9.7600000000000016</v>
      </c>
      <c r="Q380" s="86">
        <f>SUM(N380:P380)</f>
        <v>29.280000000000005</v>
      </c>
      <c r="R380" s="86">
        <f>SUM(E380+I380+M380+Q380)</f>
        <v>117.12000000000002</v>
      </c>
    </row>
    <row r="381" spans="1:18">
      <c r="A381" s="149" t="s">
        <v>193</v>
      </c>
      <c r="B381" s="94">
        <f>$F$358</f>
        <v>0.23913022741147738</v>
      </c>
      <c r="C381" s="94">
        <f>$F$358</f>
        <v>0.23913022741147738</v>
      </c>
      <c r="D381" s="94">
        <f>$F$358</f>
        <v>0.23913022741147738</v>
      </c>
      <c r="E381" s="86">
        <f>SUM(B381:D381)</f>
        <v>0.71739068223443214</v>
      </c>
      <c r="F381" s="94">
        <f>$F$358</f>
        <v>0.23913022741147738</v>
      </c>
      <c r="G381" s="94">
        <f>$F$358</f>
        <v>0.23913022741147738</v>
      </c>
      <c r="H381" s="94">
        <f>$F$358</f>
        <v>0.23913022741147738</v>
      </c>
      <c r="I381" s="86">
        <f>SUM(F381:H381)</f>
        <v>0.71739068223443214</v>
      </c>
      <c r="J381" s="94">
        <f>$F$358</f>
        <v>0.23913022741147738</v>
      </c>
      <c r="K381" s="94">
        <f>$F$358</f>
        <v>0.23913022741147738</v>
      </c>
      <c r="L381" s="94">
        <f>$F$358</f>
        <v>0.23913022741147738</v>
      </c>
      <c r="M381" s="86">
        <f>SUM(J381:L381)</f>
        <v>0.71739068223443214</v>
      </c>
      <c r="N381" s="94">
        <f>$F$358</f>
        <v>0.23913022741147738</v>
      </c>
      <c r="O381" s="94">
        <f>$F$358</f>
        <v>0.23913022741147738</v>
      </c>
      <c r="P381" s="94">
        <f>$F$358</f>
        <v>0.23913022741147738</v>
      </c>
      <c r="Q381" s="86">
        <f>SUM(N381:P381)</f>
        <v>0.71739068223443214</v>
      </c>
      <c r="R381" s="86">
        <f>SUM(E381+I381+M381+Q381)</f>
        <v>2.8695627289377286</v>
      </c>
    </row>
    <row r="382" spans="1:18">
      <c r="A382" s="178" t="s">
        <v>42</v>
      </c>
      <c r="B382" s="152">
        <f t="shared" ref="B382:R382" si="107">SUM(B379:B381)</f>
        <v>24.215830227411477</v>
      </c>
      <c r="C382" s="152">
        <f t="shared" si="107"/>
        <v>24.215830227411477</v>
      </c>
      <c r="D382" s="152">
        <f t="shared" si="107"/>
        <v>24.215830227411477</v>
      </c>
      <c r="E382" s="152">
        <f t="shared" si="107"/>
        <v>72.647490682234434</v>
      </c>
      <c r="F382" s="152">
        <f t="shared" si="107"/>
        <v>24.215830227411477</v>
      </c>
      <c r="G382" s="152">
        <f t="shared" si="107"/>
        <v>24.215830227411477</v>
      </c>
      <c r="H382" s="152">
        <f t="shared" si="107"/>
        <v>24.215830227411477</v>
      </c>
      <c r="I382" s="152">
        <f t="shared" si="107"/>
        <v>72.647490682234434</v>
      </c>
      <c r="J382" s="152">
        <f t="shared" si="107"/>
        <v>24.187630227411479</v>
      </c>
      <c r="K382" s="152">
        <f t="shared" si="107"/>
        <v>24.187630227411479</v>
      </c>
      <c r="L382" s="152">
        <f t="shared" si="107"/>
        <v>24.187630227411479</v>
      </c>
      <c r="M382" s="152">
        <f t="shared" si="107"/>
        <v>72.562890682234439</v>
      </c>
      <c r="N382" s="152">
        <f t="shared" si="107"/>
        <v>24.187630227411479</v>
      </c>
      <c r="O382" s="152">
        <f t="shared" si="107"/>
        <v>24.187630227411479</v>
      </c>
      <c r="P382" s="152">
        <f t="shared" si="107"/>
        <v>24.187630227411479</v>
      </c>
      <c r="Q382" s="152">
        <f t="shared" si="107"/>
        <v>72.562890682234439</v>
      </c>
      <c r="R382" s="152">
        <f t="shared" si="107"/>
        <v>290.42076272893775</v>
      </c>
    </row>
    <row r="387" spans="1:18">
      <c r="A387" s="106" t="s">
        <v>195</v>
      </c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</row>
    <row r="388" spans="1:1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</row>
    <row r="389" spans="1:18">
      <c r="A389" s="88" t="s">
        <v>3</v>
      </c>
      <c r="B389" s="102" t="s">
        <v>4</v>
      </c>
      <c r="C389" s="102" t="s">
        <v>5</v>
      </c>
      <c r="D389" s="102" t="s">
        <v>6</v>
      </c>
      <c r="E389" s="102" t="s">
        <v>7</v>
      </c>
      <c r="F389" s="102" t="s">
        <v>8</v>
      </c>
      <c r="G389" s="102" t="s">
        <v>9</v>
      </c>
      <c r="H389" s="102" t="s">
        <v>10</v>
      </c>
      <c r="I389" s="102" t="s">
        <v>11</v>
      </c>
      <c r="J389" s="102" t="s">
        <v>12</v>
      </c>
      <c r="K389" s="102" t="s">
        <v>67</v>
      </c>
      <c r="L389" s="102" t="s">
        <v>68</v>
      </c>
      <c r="M389" s="102" t="s">
        <v>15</v>
      </c>
      <c r="N389" s="102" t="s">
        <v>16</v>
      </c>
      <c r="O389" s="102" t="s">
        <v>17</v>
      </c>
      <c r="P389" s="102" t="s">
        <v>18</v>
      </c>
      <c r="Q389" s="102" t="s">
        <v>69</v>
      </c>
      <c r="R389" s="102" t="s">
        <v>44</v>
      </c>
    </row>
    <row r="390" spans="1:18">
      <c r="A390" s="186" t="s">
        <v>191</v>
      </c>
      <c r="B390" s="180">
        <f>B428</f>
        <v>17.374600000000001</v>
      </c>
      <c r="C390" s="180">
        <f>C428</f>
        <v>17.374600000000001</v>
      </c>
      <c r="D390" s="180">
        <f>D428</f>
        <v>17.374600000000001</v>
      </c>
      <c r="E390" s="86">
        <f>B390+C390+D390</f>
        <v>52.123800000000003</v>
      </c>
      <c r="F390" s="94">
        <f>B390</f>
        <v>17.374600000000001</v>
      </c>
      <c r="G390" s="94">
        <f t="shared" ref="G390:Q391" si="108">C390</f>
        <v>17.374600000000001</v>
      </c>
      <c r="H390" s="94">
        <f t="shared" si="108"/>
        <v>17.374600000000001</v>
      </c>
      <c r="I390" s="94">
        <f t="shared" si="108"/>
        <v>52.123800000000003</v>
      </c>
      <c r="J390" s="94">
        <f t="shared" si="108"/>
        <v>17.374600000000001</v>
      </c>
      <c r="K390" s="94">
        <f t="shared" si="108"/>
        <v>17.374600000000001</v>
      </c>
      <c r="L390" s="94">
        <f t="shared" si="108"/>
        <v>17.374600000000001</v>
      </c>
      <c r="M390" s="94">
        <f t="shared" si="108"/>
        <v>52.123800000000003</v>
      </c>
      <c r="N390" s="94">
        <f t="shared" si="108"/>
        <v>17.374600000000001</v>
      </c>
      <c r="O390" s="94">
        <f t="shared" si="108"/>
        <v>17.374600000000001</v>
      </c>
      <c r="P390" s="94">
        <f t="shared" si="108"/>
        <v>17.374600000000001</v>
      </c>
      <c r="Q390" s="86">
        <f t="shared" si="108"/>
        <v>52.123800000000003</v>
      </c>
      <c r="R390" s="86">
        <f>Q390+M390+I390+E390</f>
        <v>208.49520000000001</v>
      </c>
    </row>
    <row r="391" spans="1:18">
      <c r="A391" s="186" t="s">
        <v>192</v>
      </c>
      <c r="B391" s="180">
        <f>($V$21+$W$21+$X$21+$Y$21)*B206</f>
        <v>10.56</v>
      </c>
      <c r="C391" s="180">
        <f t="shared" ref="C391:D391" si="109">($V$21+$W$21+$X$21+$Y$21)*C206</f>
        <v>10.56</v>
      </c>
      <c r="D391" s="180">
        <f t="shared" si="109"/>
        <v>10.56</v>
      </c>
      <c r="E391" s="86">
        <f>B391+C391+D391</f>
        <v>31.68</v>
      </c>
      <c r="F391" s="94">
        <f>B391</f>
        <v>10.56</v>
      </c>
      <c r="G391" s="94">
        <f t="shared" si="108"/>
        <v>10.56</v>
      </c>
      <c r="H391" s="94">
        <f t="shared" si="108"/>
        <v>10.56</v>
      </c>
      <c r="I391" s="94">
        <f t="shared" si="108"/>
        <v>31.68</v>
      </c>
      <c r="J391" s="94">
        <f t="shared" si="108"/>
        <v>10.56</v>
      </c>
      <c r="K391" s="94">
        <f t="shared" si="108"/>
        <v>10.56</v>
      </c>
      <c r="L391" s="94">
        <f t="shared" si="108"/>
        <v>10.56</v>
      </c>
      <c r="M391" s="94">
        <f t="shared" si="108"/>
        <v>31.68</v>
      </c>
      <c r="N391" s="94">
        <f t="shared" si="108"/>
        <v>10.56</v>
      </c>
      <c r="O391" s="94">
        <f t="shared" si="108"/>
        <v>10.56</v>
      </c>
      <c r="P391" s="94">
        <f t="shared" si="108"/>
        <v>10.56</v>
      </c>
      <c r="Q391" s="86">
        <f t="shared" si="108"/>
        <v>31.68</v>
      </c>
      <c r="R391" s="86">
        <f>Q391+M391+I391+E391</f>
        <v>126.72</v>
      </c>
    </row>
    <row r="392" spans="1:18">
      <c r="A392" s="149" t="s">
        <v>193</v>
      </c>
      <c r="B392" s="181">
        <f>$F$359</f>
        <v>0.23975090303215302</v>
      </c>
      <c r="C392" s="181">
        <f>$F$359</f>
        <v>0.23975090303215302</v>
      </c>
      <c r="D392" s="181">
        <f>$F$359</f>
        <v>0.23975090303215302</v>
      </c>
      <c r="E392" s="183">
        <f>B392+C392+D392</f>
        <v>0.71925270909645911</v>
      </c>
      <c r="F392" s="94">
        <f>$F$359</f>
        <v>0.23975090303215302</v>
      </c>
      <c r="G392" s="94">
        <f>$F$359</f>
        <v>0.23975090303215302</v>
      </c>
      <c r="H392" s="94">
        <f>$F$359</f>
        <v>0.23975090303215302</v>
      </c>
      <c r="I392" s="86">
        <f>F392+G392+H392</f>
        <v>0.71925270909645911</v>
      </c>
      <c r="J392" s="94">
        <f t="shared" ref="J392:Q393" si="110">F392</f>
        <v>0.23975090303215302</v>
      </c>
      <c r="K392" s="94">
        <f t="shared" si="110"/>
        <v>0.23975090303215302</v>
      </c>
      <c r="L392" s="94">
        <f t="shared" si="110"/>
        <v>0.23975090303215302</v>
      </c>
      <c r="M392" s="149">
        <f t="shared" si="110"/>
        <v>0.71925270909645911</v>
      </c>
      <c r="N392" s="94">
        <f t="shared" si="110"/>
        <v>0.23975090303215302</v>
      </c>
      <c r="O392" s="94">
        <f t="shared" si="110"/>
        <v>0.23975090303215302</v>
      </c>
      <c r="P392" s="94">
        <f t="shared" si="110"/>
        <v>0.23975090303215302</v>
      </c>
      <c r="Q392" s="86">
        <f t="shared" si="110"/>
        <v>0.71925270909645911</v>
      </c>
      <c r="R392" s="86">
        <f>Q392+M392+I392+E392</f>
        <v>2.8770108363858364</v>
      </c>
    </row>
    <row r="393" spans="1:18">
      <c r="A393" s="178" t="s">
        <v>42</v>
      </c>
      <c r="B393" s="174">
        <f>B390+B392+B391</f>
        <v>28.174350903032156</v>
      </c>
      <c r="C393" s="174">
        <f>C390+C392+C391</f>
        <v>28.174350903032156</v>
      </c>
      <c r="D393" s="174">
        <f>D390+D392+D391</f>
        <v>28.174350903032156</v>
      </c>
      <c r="E393" s="86">
        <f>B393+C393+D393</f>
        <v>84.523052709096476</v>
      </c>
      <c r="F393" s="86">
        <f>B393</f>
        <v>28.174350903032156</v>
      </c>
      <c r="G393" s="86">
        <f>C393</f>
        <v>28.174350903032156</v>
      </c>
      <c r="H393" s="86">
        <f>D393</f>
        <v>28.174350903032156</v>
      </c>
      <c r="I393" s="86">
        <f>E393</f>
        <v>84.523052709096476</v>
      </c>
      <c r="J393" s="86">
        <f t="shared" si="110"/>
        <v>28.174350903032156</v>
      </c>
      <c r="K393" s="86">
        <f t="shared" si="110"/>
        <v>28.174350903032156</v>
      </c>
      <c r="L393" s="86">
        <f t="shared" si="110"/>
        <v>28.174350903032156</v>
      </c>
      <c r="M393" s="86">
        <f t="shared" si="110"/>
        <v>84.523052709096476</v>
      </c>
      <c r="N393" s="86">
        <f t="shared" si="110"/>
        <v>28.174350903032156</v>
      </c>
      <c r="O393" s="86">
        <f t="shared" si="110"/>
        <v>28.174350903032156</v>
      </c>
      <c r="P393" s="86">
        <f t="shared" si="110"/>
        <v>28.174350903032156</v>
      </c>
      <c r="Q393" s="152">
        <f t="shared" si="110"/>
        <v>84.523052709096476</v>
      </c>
      <c r="R393" s="86">
        <f>Q393+M393+I393+E393</f>
        <v>338.0922108363859</v>
      </c>
    </row>
    <row r="398" spans="1:18">
      <c r="A398" s="106" t="s">
        <v>196</v>
      </c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</row>
    <row r="399" spans="1:18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</row>
    <row r="400" spans="1:18">
      <c r="A400" s="88" t="s">
        <v>3</v>
      </c>
      <c r="B400" s="102" t="s">
        <v>4</v>
      </c>
      <c r="C400" s="102" t="s">
        <v>5</v>
      </c>
      <c r="D400" s="102" t="s">
        <v>6</v>
      </c>
      <c r="E400" s="102" t="s">
        <v>7</v>
      </c>
      <c r="F400" s="102" t="s">
        <v>8</v>
      </c>
      <c r="G400" s="102" t="s">
        <v>9</v>
      </c>
      <c r="H400" s="102" t="s">
        <v>10</v>
      </c>
      <c r="I400" s="102" t="s">
        <v>11</v>
      </c>
      <c r="J400" s="102" t="s">
        <v>12</v>
      </c>
      <c r="K400" s="102" t="s">
        <v>67</v>
      </c>
      <c r="L400" s="102" t="s">
        <v>68</v>
      </c>
      <c r="M400" s="102" t="s">
        <v>15</v>
      </c>
      <c r="N400" s="102" t="s">
        <v>16</v>
      </c>
      <c r="O400" s="102" t="s">
        <v>17</v>
      </c>
      <c r="P400" s="102" t="s">
        <v>18</v>
      </c>
      <c r="Q400" s="102" t="s">
        <v>69</v>
      </c>
      <c r="R400" s="102" t="s">
        <v>44</v>
      </c>
    </row>
    <row r="401" spans="1:18">
      <c r="A401" s="186" t="s">
        <v>191</v>
      </c>
      <c r="B401" s="180">
        <f>D434</f>
        <v>19.2136</v>
      </c>
      <c r="C401" s="180">
        <f>C434</f>
        <v>19.2136</v>
      </c>
      <c r="D401" s="180">
        <f>D434</f>
        <v>19.2136</v>
      </c>
      <c r="E401" s="86">
        <f>B401+C401+D401</f>
        <v>57.640799999999999</v>
      </c>
      <c r="F401" s="94">
        <f>B434</f>
        <v>19.2136</v>
      </c>
      <c r="G401" s="94">
        <f>C434</f>
        <v>19.2136</v>
      </c>
      <c r="H401" s="94">
        <f>D434</f>
        <v>19.2136</v>
      </c>
      <c r="I401" s="86">
        <f>F401+G401+H401</f>
        <v>57.640799999999999</v>
      </c>
      <c r="J401" s="94">
        <f>D434</f>
        <v>19.2136</v>
      </c>
      <c r="K401" s="94">
        <f>J401</f>
        <v>19.2136</v>
      </c>
      <c r="L401" s="94">
        <f>F434</f>
        <v>19.2136</v>
      </c>
      <c r="M401" s="149">
        <f>J401+K401+L401</f>
        <v>57.640799999999999</v>
      </c>
      <c r="N401" s="94">
        <f>H434</f>
        <v>19.2136</v>
      </c>
      <c r="O401" s="94">
        <f>N401</f>
        <v>19.2136</v>
      </c>
      <c r="P401" s="94">
        <f>J434</f>
        <v>19.2136</v>
      </c>
      <c r="Q401" s="86">
        <f>N401+O401+P401</f>
        <v>57.640799999999999</v>
      </c>
      <c r="R401" s="86">
        <f>E401+I401+M401+Q401</f>
        <v>230.56319999999999</v>
      </c>
    </row>
    <row r="402" spans="1:18">
      <c r="A402" s="186" t="s">
        <v>192</v>
      </c>
      <c r="B402" s="180">
        <f>($V$30+$W$30+$X$30+$Y$30)*B206</f>
        <v>11.2</v>
      </c>
      <c r="C402" s="180">
        <f>($V$30+$W$30+$X$30+$Y$30)*C206</f>
        <v>11.2</v>
      </c>
      <c r="D402" s="180">
        <f>($V$30+$W$30+$X$30+$Y$30)*D206</f>
        <v>11.2</v>
      </c>
      <c r="E402" s="86">
        <f>B402+C402+D402</f>
        <v>33.599999999999994</v>
      </c>
      <c r="F402" s="94">
        <f>($V$30+$W$30+$X$30+$Y$30)*B206</f>
        <v>11.2</v>
      </c>
      <c r="G402" s="94">
        <f>($V$30+$W$30+$X$30+$Y$30)*C206</f>
        <v>11.2</v>
      </c>
      <c r="H402" s="149">
        <f>($V$30+$W$30+$X$30+$Y$30)*D206</f>
        <v>11.2</v>
      </c>
      <c r="I402" s="86">
        <f>F402+G402+H402</f>
        <v>33.599999999999994</v>
      </c>
      <c r="J402" s="94">
        <f>($V$30+$W$30+$X$30+$Y$30)*D206</f>
        <v>11.2</v>
      </c>
      <c r="K402" s="94">
        <f>J402</f>
        <v>11.2</v>
      </c>
      <c r="L402" s="94">
        <f>($V$30+$W$30+$X$30+$Y$30)*F206</f>
        <v>11.2</v>
      </c>
      <c r="M402" s="149">
        <f>J402+K402+L402</f>
        <v>33.599999999999994</v>
      </c>
      <c r="N402" s="94">
        <f>($V$30+$W$30+$X$30+$Y$30)*H206</f>
        <v>11.2</v>
      </c>
      <c r="O402" s="94">
        <f>N402</f>
        <v>11.2</v>
      </c>
      <c r="P402" s="94">
        <f>($V$30+$W$30+$X$30+$Y$30)*J206</f>
        <v>11.2</v>
      </c>
      <c r="Q402" s="86">
        <f>N402+O402+P402</f>
        <v>33.599999999999994</v>
      </c>
      <c r="R402" s="86">
        <f>E402+I402+M402+Q402</f>
        <v>134.39999999999998</v>
      </c>
    </row>
    <row r="403" spans="1:18">
      <c r="A403" s="149" t="s">
        <v>193</v>
      </c>
      <c r="B403" s="181">
        <f>$B$360</f>
        <v>2.6785714285714284E-2</v>
      </c>
      <c r="C403" s="181">
        <f>$B$360</f>
        <v>2.6785714285714284E-2</v>
      </c>
      <c r="D403" s="181">
        <f>$B$360</f>
        <v>2.6785714285714284E-2</v>
      </c>
      <c r="E403" s="86">
        <f>B403+C403+D403</f>
        <v>8.0357142857142849E-2</v>
      </c>
      <c r="F403" s="94">
        <f>$B$360</f>
        <v>2.6785714285714284E-2</v>
      </c>
      <c r="G403" s="94">
        <f>$B$360</f>
        <v>2.6785714285714284E-2</v>
      </c>
      <c r="H403" s="94">
        <f>$B$360</f>
        <v>2.6785714285714284E-2</v>
      </c>
      <c r="I403" s="86">
        <f>F403+G403+H403</f>
        <v>8.0357142857142849E-2</v>
      </c>
      <c r="J403" s="94">
        <f>$B$360</f>
        <v>2.6785714285714284E-2</v>
      </c>
      <c r="K403" s="94">
        <f>J403</f>
        <v>2.6785714285714284E-2</v>
      </c>
      <c r="L403" s="94">
        <f>$B$360</f>
        <v>2.6785714285714284E-2</v>
      </c>
      <c r="M403" s="149">
        <f>J403+K403+L403</f>
        <v>8.0357142857142849E-2</v>
      </c>
      <c r="N403" s="94">
        <f>$B$360</f>
        <v>2.6785714285714284E-2</v>
      </c>
      <c r="O403" s="94">
        <f>N403</f>
        <v>2.6785714285714284E-2</v>
      </c>
      <c r="P403" s="94">
        <f>$B$360</f>
        <v>2.6785714285714284E-2</v>
      </c>
      <c r="Q403" s="86">
        <f>N403+O403+P403</f>
        <v>8.0357142857142849E-2</v>
      </c>
      <c r="R403" s="86">
        <f>E403+I403+M403+Q403</f>
        <v>0.3214285714285714</v>
      </c>
    </row>
    <row r="404" spans="1:18">
      <c r="A404" s="178" t="s">
        <v>42</v>
      </c>
      <c r="B404" s="174">
        <f>B401+B402+B403</f>
        <v>30.440385714285714</v>
      </c>
      <c r="C404" s="174">
        <f>C401+C402+C403</f>
        <v>30.440385714285714</v>
      </c>
      <c r="D404" s="174">
        <f>D401+D402+D403</f>
        <v>30.440385714285714</v>
      </c>
      <c r="E404" s="86">
        <f>B404+C404+D404</f>
        <v>91.321157142857146</v>
      </c>
      <c r="F404" s="86">
        <f>F401+F402+F403</f>
        <v>30.440385714285714</v>
      </c>
      <c r="G404" s="86">
        <f>G401+G402+G403</f>
        <v>30.440385714285714</v>
      </c>
      <c r="H404" s="86">
        <f>H401+H402+H403</f>
        <v>30.440385714285714</v>
      </c>
      <c r="I404" s="86">
        <f>F404+G404+H404</f>
        <v>91.321157142857146</v>
      </c>
      <c r="J404" s="86">
        <f t="shared" ref="J404:P404" si="111">J401+J402+J403</f>
        <v>30.440385714285714</v>
      </c>
      <c r="K404" s="86">
        <f t="shared" si="111"/>
        <v>30.440385714285714</v>
      </c>
      <c r="L404" s="86">
        <f t="shared" si="111"/>
        <v>30.440385714285714</v>
      </c>
      <c r="M404" s="86">
        <f t="shared" si="111"/>
        <v>91.321157142857132</v>
      </c>
      <c r="N404" s="86">
        <f t="shared" si="111"/>
        <v>30.440385714285714</v>
      </c>
      <c r="O404" s="86">
        <f t="shared" si="111"/>
        <v>30.440385714285714</v>
      </c>
      <c r="P404" s="86">
        <f t="shared" si="111"/>
        <v>30.440385714285714</v>
      </c>
      <c r="Q404" s="86">
        <f>N404+O404+P404</f>
        <v>91.321157142857146</v>
      </c>
      <c r="R404" s="86">
        <f>E404+I404+M404+Q404</f>
        <v>365.28462857142858</v>
      </c>
    </row>
    <row r="410" spans="1:18">
      <c r="A410" s="106" t="s">
        <v>197</v>
      </c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</row>
    <row r="411" spans="1:18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</row>
    <row r="412" spans="1:18">
      <c r="A412" s="177" t="s">
        <v>3</v>
      </c>
      <c r="B412" s="102" t="s">
        <v>4</v>
      </c>
      <c r="C412" s="102" t="s">
        <v>5</v>
      </c>
      <c r="D412" s="102" t="s">
        <v>6</v>
      </c>
      <c r="E412" s="102" t="s">
        <v>7</v>
      </c>
      <c r="F412" s="102" t="s">
        <v>8</v>
      </c>
      <c r="G412" s="102" t="s">
        <v>9</v>
      </c>
      <c r="H412" s="102" t="s">
        <v>10</v>
      </c>
      <c r="I412" s="102" t="s">
        <v>11</v>
      </c>
      <c r="J412" s="102" t="s">
        <v>12</v>
      </c>
      <c r="K412" s="102" t="s">
        <v>67</v>
      </c>
      <c r="L412" s="102" t="s">
        <v>68</v>
      </c>
      <c r="M412" s="102" t="s">
        <v>15</v>
      </c>
      <c r="N412" s="102" t="s">
        <v>16</v>
      </c>
      <c r="O412" s="102" t="s">
        <v>17</v>
      </c>
      <c r="P412" s="102" t="s">
        <v>18</v>
      </c>
      <c r="Q412" s="102" t="s">
        <v>69</v>
      </c>
      <c r="R412" s="102" t="s">
        <v>44</v>
      </c>
    </row>
    <row r="413" spans="1:18">
      <c r="A413" s="88" t="s">
        <v>30</v>
      </c>
      <c r="B413" s="94"/>
      <c r="C413" s="94"/>
      <c r="D413" s="94"/>
      <c r="E413" s="86"/>
      <c r="F413" s="94"/>
      <c r="G413" s="94"/>
      <c r="H413" s="94"/>
      <c r="I413" s="86"/>
      <c r="J413" s="94"/>
      <c r="K413" s="94"/>
      <c r="L413" s="94"/>
      <c r="M413" s="86"/>
      <c r="N413" s="94"/>
      <c r="O413" s="94"/>
      <c r="P413" s="94"/>
      <c r="Q413" s="86"/>
      <c r="R413" s="86"/>
    </row>
    <row r="414" spans="1:18">
      <c r="A414" s="95" t="s">
        <v>93</v>
      </c>
      <c r="B414" s="94">
        <f>($V$8)*$V$46</f>
        <v>11.034000000000001</v>
      </c>
      <c r="C414" s="94">
        <f>($V$8)*$V$46</f>
        <v>11.034000000000001</v>
      </c>
      <c r="D414" s="94">
        <f t="shared" ref="D414:H414" si="112">($V$8)*$V$46</f>
        <v>11.034000000000001</v>
      </c>
      <c r="E414" s="86">
        <f>D414+C414+B414</f>
        <v>33.102000000000004</v>
      </c>
      <c r="F414" s="94">
        <f t="shared" si="112"/>
        <v>11.034000000000001</v>
      </c>
      <c r="G414" s="94">
        <f t="shared" si="112"/>
        <v>11.034000000000001</v>
      </c>
      <c r="H414" s="94">
        <f t="shared" si="112"/>
        <v>11.034000000000001</v>
      </c>
      <c r="I414" s="86">
        <f>H414+G414+F414</f>
        <v>33.102000000000004</v>
      </c>
      <c r="J414" s="94">
        <f>($V$8)*$W$46</f>
        <v>11.000999999999999</v>
      </c>
      <c r="K414" s="94">
        <f t="shared" ref="K414:O414" si="113">($V$8)*$W$46</f>
        <v>11.000999999999999</v>
      </c>
      <c r="L414" s="94">
        <f t="shared" si="113"/>
        <v>11.000999999999999</v>
      </c>
      <c r="M414" s="86">
        <f>L414+K414+J414</f>
        <v>33.003</v>
      </c>
      <c r="N414" s="94">
        <f t="shared" si="113"/>
        <v>11.000999999999999</v>
      </c>
      <c r="O414" s="94">
        <f t="shared" si="113"/>
        <v>11.000999999999999</v>
      </c>
      <c r="P414" s="94">
        <f>($V$8)*$W$46</f>
        <v>11.000999999999999</v>
      </c>
      <c r="Q414" s="86">
        <f>P414+O414+N414</f>
        <v>33.003</v>
      </c>
      <c r="R414" s="86">
        <f>Q414+M414+I414+E414</f>
        <v>132.21</v>
      </c>
    </row>
    <row r="415" spans="1:18">
      <c r="A415" s="95" t="s">
        <v>94</v>
      </c>
      <c r="B415" s="94">
        <f>($W$9)*$V$47</f>
        <v>2.4799999999999999E-2</v>
      </c>
      <c r="C415" s="94">
        <f t="shared" ref="C415:H415" si="114">($W$9)*$V$47</f>
        <v>2.4799999999999999E-2</v>
      </c>
      <c r="D415" s="94">
        <f t="shared" si="114"/>
        <v>2.4799999999999999E-2</v>
      </c>
      <c r="E415" s="86">
        <f>D415+C415+B415</f>
        <v>7.4399999999999994E-2</v>
      </c>
      <c r="F415" s="94">
        <f t="shared" si="114"/>
        <v>2.4799999999999999E-2</v>
      </c>
      <c r="G415" s="94">
        <f t="shared" si="114"/>
        <v>2.4799999999999999E-2</v>
      </c>
      <c r="H415" s="94">
        <f t="shared" si="114"/>
        <v>2.4799999999999999E-2</v>
      </c>
      <c r="I415" s="86">
        <f>H415+G415+F415</f>
        <v>7.4399999999999994E-2</v>
      </c>
      <c r="J415" s="94">
        <f>($W$9)*$W$47</f>
        <v>2.4E-2</v>
      </c>
      <c r="K415" s="94">
        <f t="shared" ref="K415:P415" si="115">($W$9)*$W$47</f>
        <v>2.4E-2</v>
      </c>
      <c r="L415" s="94">
        <f t="shared" si="115"/>
        <v>2.4E-2</v>
      </c>
      <c r="M415" s="86">
        <f>L415+K415+J415</f>
        <v>7.2000000000000008E-2</v>
      </c>
      <c r="N415" s="94">
        <f t="shared" si="115"/>
        <v>2.4E-2</v>
      </c>
      <c r="O415" s="94">
        <f t="shared" si="115"/>
        <v>2.4E-2</v>
      </c>
      <c r="P415" s="94">
        <f t="shared" si="115"/>
        <v>2.4E-2</v>
      </c>
      <c r="Q415" s="86">
        <f>P415+O415+N415</f>
        <v>7.2000000000000008E-2</v>
      </c>
      <c r="R415" s="86">
        <f>Q415+M415+I415+E415</f>
        <v>0.2928</v>
      </c>
    </row>
    <row r="416" spans="1:18">
      <c r="A416" s="95" t="s">
        <v>96</v>
      </c>
      <c r="B416" s="94">
        <f>($X$10)*$V$48</f>
        <v>5</v>
      </c>
      <c r="C416" s="94">
        <f t="shared" ref="C416:H416" si="116">($X$10)*$V$48</f>
        <v>5</v>
      </c>
      <c r="D416" s="94">
        <f t="shared" si="116"/>
        <v>5</v>
      </c>
      <c r="E416" s="86">
        <f>D416+C416+B416</f>
        <v>15</v>
      </c>
      <c r="F416" s="94">
        <f t="shared" si="116"/>
        <v>5</v>
      </c>
      <c r="G416" s="94">
        <f t="shared" si="116"/>
        <v>5</v>
      </c>
      <c r="H416" s="94">
        <f t="shared" si="116"/>
        <v>5</v>
      </c>
      <c r="I416" s="86">
        <f>H416+G416+F416</f>
        <v>15</v>
      </c>
      <c r="J416" s="94">
        <f>($X$10)*$W$48</f>
        <v>5</v>
      </c>
      <c r="K416" s="94">
        <f t="shared" ref="K416:P416" si="117">($X$10)*$W$48</f>
        <v>5</v>
      </c>
      <c r="L416" s="94">
        <f t="shared" si="117"/>
        <v>5</v>
      </c>
      <c r="M416" s="86">
        <f>L416+K416+J416</f>
        <v>15</v>
      </c>
      <c r="N416" s="94">
        <f t="shared" si="117"/>
        <v>5</v>
      </c>
      <c r="O416" s="94">
        <f t="shared" si="117"/>
        <v>5</v>
      </c>
      <c r="P416" s="94">
        <f t="shared" si="117"/>
        <v>5</v>
      </c>
      <c r="Q416" s="86">
        <f>P416+O416+N416</f>
        <v>15</v>
      </c>
      <c r="R416" s="86">
        <f>Q416+M416+I416+E416</f>
        <v>60</v>
      </c>
    </row>
    <row r="417" spans="1:18">
      <c r="A417" s="175" t="s">
        <v>44</v>
      </c>
      <c r="B417" s="86">
        <f>B414+B415+B416</f>
        <v>16.058800000000002</v>
      </c>
      <c r="C417" s="86">
        <f>C414+C415+C416</f>
        <v>16.058800000000002</v>
      </c>
      <c r="D417" s="86">
        <f>D414+D415+D416</f>
        <v>16.058800000000002</v>
      </c>
      <c r="E417" s="86">
        <f>E414+E415+E416</f>
        <v>48.176400000000001</v>
      </c>
      <c r="F417" s="86">
        <f t="shared" ref="F417:R417" si="118">F414+F415+F416</f>
        <v>16.058800000000002</v>
      </c>
      <c r="G417" s="86">
        <f t="shared" si="118"/>
        <v>16.058800000000002</v>
      </c>
      <c r="H417" s="86">
        <f t="shared" si="118"/>
        <v>16.058800000000002</v>
      </c>
      <c r="I417" s="86">
        <f t="shared" si="118"/>
        <v>48.176400000000001</v>
      </c>
      <c r="J417" s="86">
        <f t="shared" si="118"/>
        <v>16.024999999999999</v>
      </c>
      <c r="K417" s="86">
        <f t="shared" si="118"/>
        <v>16.024999999999999</v>
      </c>
      <c r="L417" s="86">
        <f t="shared" si="118"/>
        <v>16.024999999999999</v>
      </c>
      <c r="M417" s="86">
        <f t="shared" si="118"/>
        <v>48.075000000000003</v>
      </c>
      <c r="N417" s="86">
        <f t="shared" si="118"/>
        <v>16.024999999999999</v>
      </c>
      <c r="O417" s="86">
        <f t="shared" si="118"/>
        <v>16.024999999999999</v>
      </c>
      <c r="P417" s="86">
        <f t="shared" si="118"/>
        <v>16.024999999999999</v>
      </c>
      <c r="Q417" s="86">
        <f t="shared" si="118"/>
        <v>48.075000000000003</v>
      </c>
      <c r="R417" s="86">
        <f t="shared" si="118"/>
        <v>192.50280000000001</v>
      </c>
    </row>
    <row r="418" spans="1:18">
      <c r="A418" s="88" t="s">
        <v>31</v>
      </c>
      <c r="B418" s="94"/>
      <c r="C418" s="94"/>
      <c r="D418" s="94"/>
      <c r="E418" s="86"/>
      <c r="F418" s="94"/>
      <c r="G418" s="94"/>
      <c r="H418" s="94"/>
      <c r="I418" s="86"/>
      <c r="J418" s="94"/>
      <c r="K418" s="94"/>
      <c r="L418" s="94"/>
      <c r="M418" s="86"/>
      <c r="N418" s="94"/>
      <c r="O418" s="94"/>
      <c r="P418" s="94"/>
      <c r="Q418" s="86"/>
      <c r="R418" s="86"/>
    </row>
    <row r="419" spans="1:18">
      <c r="A419" s="95" t="s">
        <v>93</v>
      </c>
      <c r="B419" s="94">
        <f>$V$16*$V$46</f>
        <v>9.1950000000000003</v>
      </c>
      <c r="C419" s="94">
        <f>$V$16*$V$46</f>
        <v>9.1950000000000003</v>
      </c>
      <c r="D419" s="94">
        <f>$V$16*$V$46</f>
        <v>9.1950000000000003</v>
      </c>
      <c r="E419" s="86">
        <f>SUM(B419:D419)</f>
        <v>27.585000000000001</v>
      </c>
      <c r="F419" s="94">
        <f>$V$16*$V$46</f>
        <v>9.1950000000000003</v>
      </c>
      <c r="G419" s="94">
        <f>$V$16*$V$46</f>
        <v>9.1950000000000003</v>
      </c>
      <c r="H419" s="94">
        <f>$V$16*$V$46</f>
        <v>9.1950000000000003</v>
      </c>
      <c r="I419" s="86">
        <f>SUM(F419:H419)</f>
        <v>27.585000000000001</v>
      </c>
      <c r="J419" s="94">
        <f>$V$16*$W$46</f>
        <v>9.1675000000000004</v>
      </c>
      <c r="K419" s="94">
        <f>$V$16*$W$46</f>
        <v>9.1675000000000004</v>
      </c>
      <c r="L419" s="94">
        <f>$V$16*$W$46</f>
        <v>9.1675000000000004</v>
      </c>
      <c r="M419" s="86">
        <f>SUM(J419:L419)</f>
        <v>27.502500000000001</v>
      </c>
      <c r="N419" s="94">
        <f>$V$16*$W$46</f>
        <v>9.1675000000000004</v>
      </c>
      <c r="O419" s="94">
        <f>$V$16*$W$46</f>
        <v>9.1675000000000004</v>
      </c>
      <c r="P419" s="94">
        <f>$V$16*$W$46</f>
        <v>9.1675000000000004</v>
      </c>
      <c r="Q419" s="86">
        <f>SUM(N419:P419)</f>
        <v>27.502500000000001</v>
      </c>
      <c r="R419" s="86">
        <f>SUM(E419+I419+M419+Q419)</f>
        <v>110.175</v>
      </c>
    </row>
    <row r="420" spans="1:18">
      <c r="A420" s="95" t="s">
        <v>94</v>
      </c>
      <c r="B420" s="94">
        <f>$W$17*$V$47</f>
        <v>2.1700000000000001E-2</v>
      </c>
      <c r="C420" s="94">
        <f>$W$17*$V$47</f>
        <v>2.1700000000000001E-2</v>
      </c>
      <c r="D420" s="94">
        <f>$W$17*$V$47</f>
        <v>2.1700000000000001E-2</v>
      </c>
      <c r="E420" s="86">
        <f>SUM(B420:D420)</f>
        <v>6.5100000000000005E-2</v>
      </c>
      <c r="F420" s="94">
        <f>$W$17*$V$47</f>
        <v>2.1700000000000001E-2</v>
      </c>
      <c r="G420" s="94">
        <f>$W$17*$V$47</f>
        <v>2.1700000000000001E-2</v>
      </c>
      <c r="H420" s="94">
        <f>$W$17*$V$47</f>
        <v>2.1700000000000001E-2</v>
      </c>
      <c r="I420" s="86">
        <f>SUM(F420:H420)</f>
        <v>6.5100000000000005E-2</v>
      </c>
      <c r="J420" s="94">
        <f>$W$17*$W$47</f>
        <v>2.1000000000000001E-2</v>
      </c>
      <c r="K420" s="94">
        <f>$W$17*$W$47</f>
        <v>2.1000000000000001E-2</v>
      </c>
      <c r="L420" s="94">
        <f>$W$17*$W$47</f>
        <v>2.1000000000000001E-2</v>
      </c>
      <c r="M420" s="86">
        <f>J420+K420+L420</f>
        <v>6.3E-2</v>
      </c>
      <c r="N420" s="94">
        <f>$W$17*$W$47</f>
        <v>2.1000000000000001E-2</v>
      </c>
      <c r="O420" s="94">
        <f>$W$17*$W$47</f>
        <v>2.1000000000000001E-2</v>
      </c>
      <c r="P420" s="94">
        <f>$W$17*$W$47</f>
        <v>2.1000000000000001E-2</v>
      </c>
      <c r="Q420" s="86">
        <f>SUM(N420:P420)</f>
        <v>6.3E-2</v>
      </c>
      <c r="R420" s="86">
        <f>SUM(E420+I420+M420+Q420)</f>
        <v>0.25619999999999998</v>
      </c>
    </row>
    <row r="421" spans="1:18">
      <c r="A421" s="95" t="s">
        <v>96</v>
      </c>
      <c r="B421" s="94">
        <f>$X$18*$V$48</f>
        <v>5</v>
      </c>
      <c r="C421" s="94">
        <f>$X$18*$V$48</f>
        <v>5</v>
      </c>
      <c r="D421" s="94">
        <f>$X$18*$V$48</f>
        <v>5</v>
      </c>
      <c r="E421" s="86">
        <f>SUM(B421:D421)</f>
        <v>15</v>
      </c>
      <c r="F421" s="94">
        <f>$X$18*$V$48</f>
        <v>5</v>
      </c>
      <c r="G421" s="94">
        <f>$X$18*$V$48</f>
        <v>5</v>
      </c>
      <c r="H421" s="94">
        <f>$X$18*$V$48</f>
        <v>5</v>
      </c>
      <c r="I421" s="86">
        <f>SUM(F421:H421)</f>
        <v>15</v>
      </c>
      <c r="J421" s="94">
        <f>$X$18*$W$48</f>
        <v>5</v>
      </c>
      <c r="K421" s="94">
        <f>$X$18*$W$48</f>
        <v>5</v>
      </c>
      <c r="L421" s="94">
        <f>$X$18*$W$48</f>
        <v>5</v>
      </c>
      <c r="M421" s="86">
        <f>SUM(J421:L421)</f>
        <v>15</v>
      </c>
      <c r="N421" s="94">
        <f>$X$18*$W$48</f>
        <v>5</v>
      </c>
      <c r="O421" s="94">
        <f>$X$18*$W$48</f>
        <v>5</v>
      </c>
      <c r="P421" s="94">
        <f>$X$18*$W$48</f>
        <v>5</v>
      </c>
      <c r="Q421" s="86">
        <f>SUM(N421:P421)</f>
        <v>15</v>
      </c>
      <c r="R421" s="86">
        <f>SUM(E421+I421+M421+Q421)</f>
        <v>60</v>
      </c>
    </row>
    <row r="422" spans="1:18">
      <c r="A422" s="175" t="s">
        <v>44</v>
      </c>
      <c r="B422" s="86">
        <f t="shared" ref="B422:R422" si="119">SUM(B419:B421)</f>
        <v>14.216699999999999</v>
      </c>
      <c r="C422" s="86">
        <f t="shared" si="119"/>
        <v>14.216699999999999</v>
      </c>
      <c r="D422" s="86">
        <f t="shared" si="119"/>
        <v>14.216699999999999</v>
      </c>
      <c r="E422" s="86">
        <f t="shared" si="119"/>
        <v>42.650100000000002</v>
      </c>
      <c r="F422" s="86">
        <f t="shared" si="119"/>
        <v>14.216699999999999</v>
      </c>
      <c r="G422" s="86">
        <f t="shared" si="119"/>
        <v>14.216699999999999</v>
      </c>
      <c r="H422" s="86">
        <f t="shared" si="119"/>
        <v>14.216699999999999</v>
      </c>
      <c r="I422" s="86">
        <f t="shared" si="119"/>
        <v>42.650100000000002</v>
      </c>
      <c r="J422" s="86">
        <f t="shared" si="119"/>
        <v>14.188500000000001</v>
      </c>
      <c r="K422" s="86">
        <f t="shared" si="119"/>
        <v>14.188500000000001</v>
      </c>
      <c r="L422" s="86">
        <f t="shared" si="119"/>
        <v>14.188500000000001</v>
      </c>
      <c r="M422" s="86">
        <f t="shared" si="119"/>
        <v>42.5655</v>
      </c>
      <c r="N422" s="86">
        <f t="shared" si="119"/>
        <v>14.188500000000001</v>
      </c>
      <c r="O422" s="86">
        <f t="shared" si="119"/>
        <v>14.188500000000001</v>
      </c>
      <c r="P422" s="86">
        <f t="shared" si="119"/>
        <v>14.188500000000001</v>
      </c>
      <c r="Q422" s="86">
        <f t="shared" si="119"/>
        <v>42.5655</v>
      </c>
      <c r="R422" s="86">
        <f t="shared" si="119"/>
        <v>170.43119999999999</v>
      </c>
    </row>
    <row r="423" spans="1:18">
      <c r="A423" s="88" t="s">
        <v>32</v>
      </c>
      <c r="B423" s="94"/>
      <c r="C423" s="94"/>
      <c r="D423" s="94"/>
      <c r="E423" s="86"/>
      <c r="F423" s="94"/>
      <c r="G423" s="94"/>
      <c r="H423" s="94"/>
      <c r="I423" s="86"/>
      <c r="J423" s="94"/>
      <c r="K423" s="94"/>
      <c r="L423" s="94"/>
      <c r="M423" s="86"/>
      <c r="N423" s="94"/>
      <c r="O423" s="94"/>
      <c r="P423" s="94"/>
      <c r="Q423" s="86"/>
      <c r="R423" s="86"/>
    </row>
    <row r="424" spans="1:18">
      <c r="A424" s="95" t="s">
        <v>89</v>
      </c>
      <c r="B424" s="182">
        <f>($Y$25)*$V$45</f>
        <v>5</v>
      </c>
      <c r="C424" s="182">
        <f t="shared" ref="C424:D424" si="120">($Y$25)*$V$45</f>
        <v>5</v>
      </c>
      <c r="D424" s="182">
        <f t="shared" si="120"/>
        <v>5</v>
      </c>
      <c r="E424" s="86">
        <f>B424+C424+D424</f>
        <v>15</v>
      </c>
      <c r="F424" s="94">
        <f>B424</f>
        <v>5</v>
      </c>
      <c r="G424" s="94">
        <f t="shared" ref="G424:I424" si="121">C424</f>
        <v>5</v>
      </c>
      <c r="H424" s="94">
        <f t="shared" si="121"/>
        <v>5</v>
      </c>
      <c r="I424" s="94">
        <f t="shared" si="121"/>
        <v>15</v>
      </c>
      <c r="J424" s="94">
        <f>($Y$25)*$W$45</f>
        <v>5</v>
      </c>
      <c r="K424" s="94">
        <f t="shared" ref="K424:L424" si="122">($Y$25)*$W$45</f>
        <v>5</v>
      </c>
      <c r="L424" s="94">
        <f t="shared" si="122"/>
        <v>5</v>
      </c>
      <c r="M424" s="86">
        <f>J424+K424+L424</f>
        <v>15</v>
      </c>
      <c r="N424" s="86">
        <f>J424</f>
        <v>5</v>
      </c>
      <c r="O424" s="86">
        <f t="shared" ref="O424:P424" si="123">K424</f>
        <v>5</v>
      </c>
      <c r="P424" s="86">
        <f t="shared" si="123"/>
        <v>5</v>
      </c>
      <c r="Q424" s="86">
        <f>15</f>
        <v>15</v>
      </c>
      <c r="R424" s="86">
        <f>Q424+M424+I424+E424</f>
        <v>60</v>
      </c>
    </row>
    <row r="425" spans="1:18">
      <c r="A425" s="95" t="s">
        <v>93</v>
      </c>
      <c r="B425" s="94">
        <f>($V$24)*$V$46</f>
        <v>7.3560000000000008</v>
      </c>
      <c r="C425" s="94">
        <f t="shared" ref="C425:H425" si="124">($V$24)*$V$46</f>
        <v>7.3560000000000008</v>
      </c>
      <c r="D425" s="94">
        <f t="shared" si="124"/>
        <v>7.3560000000000008</v>
      </c>
      <c r="E425" s="94">
        <f>B425+C425+D425</f>
        <v>22.068000000000001</v>
      </c>
      <c r="F425" s="94">
        <f t="shared" si="124"/>
        <v>7.3560000000000008</v>
      </c>
      <c r="G425" s="94">
        <f t="shared" si="124"/>
        <v>7.3560000000000008</v>
      </c>
      <c r="H425" s="94">
        <f t="shared" si="124"/>
        <v>7.3560000000000008</v>
      </c>
      <c r="I425" s="94">
        <f>F425+G425+H425</f>
        <v>22.068000000000001</v>
      </c>
      <c r="J425" s="94">
        <f>($V$24)*$W$46</f>
        <v>7.3340000000000005</v>
      </c>
      <c r="K425" s="94">
        <f t="shared" ref="K425:L425" si="125">($V$24)*$W$46</f>
        <v>7.3340000000000005</v>
      </c>
      <c r="L425" s="94">
        <f t="shared" si="125"/>
        <v>7.3340000000000005</v>
      </c>
      <c r="M425" s="86">
        <f>J425+K425+L425</f>
        <v>22.002000000000002</v>
      </c>
      <c r="N425" s="94">
        <f>J425</f>
        <v>7.3340000000000005</v>
      </c>
      <c r="O425" s="94">
        <f t="shared" ref="O425:P426" si="126">K425</f>
        <v>7.3340000000000005</v>
      </c>
      <c r="P425" s="94">
        <f t="shared" si="126"/>
        <v>7.3340000000000005</v>
      </c>
      <c r="Q425" s="86">
        <f>M425</f>
        <v>22.002000000000002</v>
      </c>
      <c r="R425" s="86">
        <f>Q425+M425+I425+E425</f>
        <v>88.14</v>
      </c>
    </row>
    <row r="426" spans="1:18">
      <c r="A426" s="95" t="s">
        <v>94</v>
      </c>
      <c r="B426" s="94">
        <f>($W$26)*$V$47</f>
        <v>1.8599999999999998E-2</v>
      </c>
      <c r="C426" s="94">
        <f t="shared" ref="C426:D426" si="127">($W$26)*$V$47</f>
        <v>1.8599999999999998E-2</v>
      </c>
      <c r="D426" s="94">
        <f t="shared" si="127"/>
        <v>1.8599999999999998E-2</v>
      </c>
      <c r="E426" s="86">
        <f>B426+C426+D426</f>
        <v>5.5799999999999995E-2</v>
      </c>
      <c r="F426" s="94">
        <f>B426</f>
        <v>1.8599999999999998E-2</v>
      </c>
      <c r="G426" s="94">
        <f t="shared" ref="G426:H427" si="128">C426</f>
        <v>1.8599999999999998E-2</v>
      </c>
      <c r="H426" s="94">
        <f t="shared" si="128"/>
        <v>1.8599999999999998E-2</v>
      </c>
      <c r="I426" s="94">
        <f>E426</f>
        <v>5.5799999999999995E-2</v>
      </c>
      <c r="J426" s="94">
        <f>($W$26)*$W$47</f>
        <v>1.8000000000000002E-2</v>
      </c>
      <c r="K426" s="94">
        <f t="shared" ref="K426:L426" si="129">($W$26)*$W$47</f>
        <v>1.8000000000000002E-2</v>
      </c>
      <c r="L426" s="94">
        <f t="shared" si="129"/>
        <v>1.8000000000000002E-2</v>
      </c>
      <c r="M426" s="86">
        <f>J426+K426+L426</f>
        <v>5.4000000000000006E-2</v>
      </c>
      <c r="N426" s="94">
        <f>J426</f>
        <v>1.8000000000000002E-2</v>
      </c>
      <c r="O426" s="94">
        <f t="shared" si="126"/>
        <v>1.8000000000000002E-2</v>
      </c>
      <c r="P426" s="94">
        <f t="shared" si="126"/>
        <v>1.8000000000000002E-2</v>
      </c>
      <c r="Q426" s="94">
        <f t="shared" ref="Q426" si="130">M426</f>
        <v>5.4000000000000006E-2</v>
      </c>
      <c r="R426" s="86">
        <f>M426+Q426+I426+E426</f>
        <v>0.21959999999999999</v>
      </c>
    </row>
    <row r="427" spans="1:18">
      <c r="A427" s="95" t="s">
        <v>96</v>
      </c>
      <c r="B427" s="95">
        <f>($X$27)*$V$48</f>
        <v>5</v>
      </c>
      <c r="C427" s="95">
        <f t="shared" ref="C427:D427" si="131">($X$27)*$V$48</f>
        <v>5</v>
      </c>
      <c r="D427" s="95">
        <f t="shared" si="131"/>
        <v>5</v>
      </c>
      <c r="E427" s="96">
        <f>B427+C427+D427</f>
        <v>15</v>
      </c>
      <c r="F427" s="95">
        <f>B427</f>
        <v>5</v>
      </c>
      <c r="G427" s="95">
        <f t="shared" si="128"/>
        <v>5</v>
      </c>
      <c r="H427" s="95">
        <f t="shared" si="128"/>
        <v>5</v>
      </c>
      <c r="I427" s="95">
        <f t="shared" ref="I427" si="132">E427</f>
        <v>15</v>
      </c>
      <c r="J427" s="95">
        <f>($X$27)*$W$48</f>
        <v>5</v>
      </c>
      <c r="K427" s="95">
        <f t="shared" ref="K427:L427" si="133">($X$27)*$W$48</f>
        <v>5</v>
      </c>
      <c r="L427" s="95">
        <f t="shared" si="133"/>
        <v>5</v>
      </c>
      <c r="M427" s="95">
        <f>J427+K427+L427</f>
        <v>15</v>
      </c>
      <c r="N427" s="95">
        <f>5</f>
        <v>5</v>
      </c>
      <c r="O427" s="95">
        <f>5</f>
        <v>5</v>
      </c>
      <c r="P427" s="95">
        <f>5</f>
        <v>5</v>
      </c>
      <c r="Q427" s="96">
        <f>M427</f>
        <v>15</v>
      </c>
      <c r="R427" s="96">
        <f>Q427+M427+I427+E427</f>
        <v>60</v>
      </c>
    </row>
    <row r="428" spans="1:18">
      <c r="A428" s="175" t="s">
        <v>44</v>
      </c>
      <c r="B428" s="86">
        <f>B424+B425+B426+B427</f>
        <v>17.374600000000001</v>
      </c>
      <c r="C428" s="86">
        <f t="shared" ref="C428:D428" si="134">C424+C425+C426+C427</f>
        <v>17.374600000000001</v>
      </c>
      <c r="D428" s="86">
        <f t="shared" si="134"/>
        <v>17.374600000000001</v>
      </c>
      <c r="E428" s="86">
        <f>B428+C428+D428</f>
        <v>52.123800000000003</v>
      </c>
      <c r="F428" s="86">
        <f>F424+F425+F426+F427</f>
        <v>17.374600000000001</v>
      </c>
      <c r="G428" s="86">
        <f t="shared" ref="G428:H428" si="135">G424+G425+G426+G427</f>
        <v>17.374600000000001</v>
      </c>
      <c r="H428" s="86">
        <f t="shared" si="135"/>
        <v>17.374600000000001</v>
      </c>
      <c r="I428" s="86">
        <f>F428+G428+H428</f>
        <v>52.123800000000003</v>
      </c>
      <c r="J428" s="86">
        <f>J424+J425+J426+J427</f>
        <v>17.352</v>
      </c>
      <c r="K428" s="86">
        <f t="shared" ref="K428:L428" si="136">K424+K425+K426+K427</f>
        <v>17.352</v>
      </c>
      <c r="L428" s="86">
        <f t="shared" si="136"/>
        <v>17.352</v>
      </c>
      <c r="M428" s="86">
        <f>M424+M425+M426+M427</f>
        <v>52.056000000000004</v>
      </c>
      <c r="N428" s="86">
        <f>N424+N425+N426+N427</f>
        <v>17.352</v>
      </c>
      <c r="O428" s="86">
        <f t="shared" ref="O428:Q428" si="137">O424+O425+O426+O427</f>
        <v>17.352</v>
      </c>
      <c r="P428" s="86">
        <f t="shared" si="137"/>
        <v>17.352</v>
      </c>
      <c r="Q428" s="86">
        <f t="shared" si="137"/>
        <v>52.056000000000004</v>
      </c>
      <c r="R428" s="86">
        <f>Q428+M428+I428+E428</f>
        <v>208.3596</v>
      </c>
    </row>
    <row r="429" spans="1:18">
      <c r="A429" s="88" t="s">
        <v>33</v>
      </c>
      <c r="B429" s="95"/>
      <c r="C429" s="95"/>
      <c r="D429" s="95"/>
      <c r="E429" s="96"/>
      <c r="F429" s="95"/>
      <c r="G429" s="95"/>
      <c r="H429" s="95"/>
      <c r="I429" s="96"/>
      <c r="J429" s="95"/>
      <c r="K429" s="95"/>
      <c r="L429" s="95"/>
      <c r="M429" s="96"/>
      <c r="N429" s="95"/>
      <c r="O429" s="95"/>
      <c r="P429" s="95"/>
      <c r="Q429" s="96"/>
      <c r="R429" s="96"/>
    </row>
    <row r="430" spans="1:18">
      <c r="A430" s="95" t="s">
        <v>89</v>
      </c>
      <c r="B430" s="95">
        <f>$Y$36*$V$45</f>
        <v>5</v>
      </c>
      <c r="C430" s="95">
        <f>$Y$36*$V$45</f>
        <v>5</v>
      </c>
      <c r="D430" s="95">
        <f>$Y$36*$V$45</f>
        <v>5</v>
      </c>
      <c r="E430" s="96">
        <f>B430+C430+D430</f>
        <v>15</v>
      </c>
      <c r="F430" s="95">
        <f>$Y$36*$V$45</f>
        <v>5</v>
      </c>
      <c r="G430" s="95">
        <f>$Y$36*$V$45</f>
        <v>5</v>
      </c>
      <c r="H430" s="95">
        <f>$Y$36*$V$45</f>
        <v>5</v>
      </c>
      <c r="I430" s="96">
        <f>F430+G430+H430</f>
        <v>15</v>
      </c>
      <c r="J430" s="95">
        <f>$Y$36*$V$45</f>
        <v>5</v>
      </c>
      <c r="K430" s="95">
        <f>$Y$36*$V$45</f>
        <v>5</v>
      </c>
      <c r="L430" s="95">
        <f>$Y$36*$V$45</f>
        <v>5</v>
      </c>
      <c r="M430" s="96">
        <f>J430+K430+L430</f>
        <v>15</v>
      </c>
      <c r="N430" s="95">
        <f>$Y$36*$V$45</f>
        <v>5</v>
      </c>
      <c r="O430" s="95">
        <f>$Y$36*$V$45</f>
        <v>5</v>
      </c>
      <c r="P430" s="95">
        <f>$Y$36*$V$45</f>
        <v>5</v>
      </c>
      <c r="Q430" s="98">
        <f>N430+O430+P430</f>
        <v>15</v>
      </c>
      <c r="R430" s="96"/>
    </row>
    <row r="431" spans="1:18">
      <c r="A431" s="95" t="s">
        <v>93</v>
      </c>
      <c r="B431" s="95">
        <f>$V$33*$V$46</f>
        <v>9.1950000000000003</v>
      </c>
      <c r="C431" s="95">
        <f>$V$33*$V$46</f>
        <v>9.1950000000000003</v>
      </c>
      <c r="D431" s="95">
        <f>$V$33*$V$46</f>
        <v>9.1950000000000003</v>
      </c>
      <c r="E431" s="96">
        <f>B431+C431+D431</f>
        <v>27.585000000000001</v>
      </c>
      <c r="F431" s="95">
        <f>$V$33*$V$46</f>
        <v>9.1950000000000003</v>
      </c>
      <c r="G431" s="95">
        <f>$V$33*$V$46</f>
        <v>9.1950000000000003</v>
      </c>
      <c r="H431" s="95">
        <f>$V$33*$V$46</f>
        <v>9.1950000000000003</v>
      </c>
      <c r="I431" s="96">
        <f>F431+G431+H431</f>
        <v>27.585000000000001</v>
      </c>
      <c r="J431" s="95">
        <f>$V$33*$V$46</f>
        <v>9.1950000000000003</v>
      </c>
      <c r="K431" s="95">
        <f>$V$33*$V$46</f>
        <v>9.1950000000000003</v>
      </c>
      <c r="L431" s="95">
        <f>$V$33*$V$46</f>
        <v>9.1950000000000003</v>
      </c>
      <c r="M431" s="96">
        <f>J431+K431+L431</f>
        <v>27.585000000000001</v>
      </c>
      <c r="N431" s="95">
        <f>$V$33*$V$46</f>
        <v>9.1950000000000003</v>
      </c>
      <c r="O431" s="95">
        <f>$V$33*$V$46</f>
        <v>9.1950000000000003</v>
      </c>
      <c r="P431" s="95">
        <f>$V$33*$V$46</f>
        <v>9.1950000000000003</v>
      </c>
      <c r="Q431" s="96">
        <f>N431+O431+P431</f>
        <v>27.585000000000001</v>
      </c>
      <c r="R431" s="96">
        <f>E430+I430+M430+Q431</f>
        <v>72.585000000000008</v>
      </c>
    </row>
    <row r="432" spans="1:18">
      <c r="A432" s="95" t="s">
        <v>94</v>
      </c>
      <c r="B432" s="98">
        <f>$W$26*$V$47</f>
        <v>1.8599999999999998E-2</v>
      </c>
      <c r="C432" s="98">
        <f>$W$26*$V$47</f>
        <v>1.8599999999999998E-2</v>
      </c>
      <c r="D432" s="98">
        <f>$W$26*$V$47</f>
        <v>1.8599999999999998E-2</v>
      </c>
      <c r="E432" s="96">
        <f>B432+C432+D432</f>
        <v>5.5799999999999995E-2</v>
      </c>
      <c r="F432" s="98">
        <f>$W$26*$V$47</f>
        <v>1.8599999999999998E-2</v>
      </c>
      <c r="G432" s="98">
        <f>$W$26*$V$47</f>
        <v>1.8599999999999998E-2</v>
      </c>
      <c r="H432" s="98">
        <f>$W$26*$V$47</f>
        <v>1.8599999999999998E-2</v>
      </c>
      <c r="I432" s="96">
        <f>F432+G432+H432</f>
        <v>5.5799999999999995E-2</v>
      </c>
      <c r="J432" s="98">
        <f>$W$26*$V$47</f>
        <v>1.8599999999999998E-2</v>
      </c>
      <c r="K432" s="98">
        <f>$W$26*$V$47</f>
        <v>1.8599999999999998E-2</v>
      </c>
      <c r="L432" s="98">
        <f>$W$26*$V$47</f>
        <v>1.8599999999999998E-2</v>
      </c>
      <c r="M432" s="96">
        <f>J432+K432+L432</f>
        <v>5.5799999999999995E-2</v>
      </c>
      <c r="N432" s="98">
        <f>$W$26*$V$47</f>
        <v>1.8599999999999998E-2</v>
      </c>
      <c r="O432" s="98">
        <f>$W$26*$V$47</f>
        <v>1.8599999999999998E-2</v>
      </c>
      <c r="P432" s="98">
        <f>$W$26*$V$47</f>
        <v>1.8599999999999998E-2</v>
      </c>
      <c r="Q432" s="96">
        <f>N432+O432+P432</f>
        <v>5.5799999999999995E-2</v>
      </c>
      <c r="R432" s="96">
        <f>E431+I431+M431+Q432</f>
        <v>82.8108</v>
      </c>
    </row>
    <row r="433" spans="1:22">
      <c r="A433" s="95" t="s">
        <v>96</v>
      </c>
      <c r="B433" s="98">
        <f>$X$35*$V$48</f>
        <v>5</v>
      </c>
      <c r="C433" s="98">
        <f>$X$35*$V$48</f>
        <v>5</v>
      </c>
      <c r="D433" s="98">
        <f>$X$35*$V$48</f>
        <v>5</v>
      </c>
      <c r="E433" s="96">
        <f>B433+C433+D433</f>
        <v>15</v>
      </c>
      <c r="F433" s="98">
        <f>$X$35*$V$48</f>
        <v>5</v>
      </c>
      <c r="G433" s="98">
        <f>$X$35*$V$48</f>
        <v>5</v>
      </c>
      <c r="H433" s="98">
        <f>$X$35*$V$48</f>
        <v>5</v>
      </c>
      <c r="I433" s="96">
        <f>F433+G433+H433</f>
        <v>15</v>
      </c>
      <c r="J433" s="98">
        <f>$X$35*$V$48</f>
        <v>5</v>
      </c>
      <c r="K433" s="98">
        <f>$X$35*$V$48</f>
        <v>5</v>
      </c>
      <c r="L433" s="98">
        <f>$X$35*$V$48</f>
        <v>5</v>
      </c>
      <c r="M433" s="96">
        <f>J433+K433+L433</f>
        <v>15</v>
      </c>
      <c r="N433" s="98">
        <f>$X$35*$V$48</f>
        <v>5</v>
      </c>
      <c r="O433" s="98">
        <f>$X$35*$V$48</f>
        <v>5</v>
      </c>
      <c r="P433" s="98">
        <f>$X$35*$V$48</f>
        <v>5</v>
      </c>
      <c r="Q433" s="96">
        <f>N433+O433+P433</f>
        <v>15</v>
      </c>
      <c r="R433" s="96">
        <f>E433+I433+M433+Q433</f>
        <v>60</v>
      </c>
    </row>
    <row r="434" spans="1:22">
      <c r="A434" s="175" t="s">
        <v>44</v>
      </c>
      <c r="B434" s="96">
        <f>B430+B431+B432+B433</f>
        <v>19.2136</v>
      </c>
      <c r="C434" s="96">
        <f>C430+C431+C432+C433</f>
        <v>19.2136</v>
      </c>
      <c r="D434" s="96">
        <f>D430+D431+D432+D433</f>
        <v>19.2136</v>
      </c>
      <c r="E434" s="96">
        <f>E430+E431+E432+E433</f>
        <v>57.640799999999999</v>
      </c>
      <c r="F434" s="86">
        <f>F430+F431+F433+F432</f>
        <v>19.2136</v>
      </c>
      <c r="G434" s="86">
        <f>G430+G431+G433+G432</f>
        <v>19.2136</v>
      </c>
      <c r="H434" s="86">
        <f>H430+H431+H433+H432</f>
        <v>19.2136</v>
      </c>
      <c r="I434" s="86">
        <f>F434+G434+H434</f>
        <v>57.640799999999999</v>
      </c>
      <c r="J434" s="86">
        <f>J430+J431+J433+J432</f>
        <v>19.2136</v>
      </c>
      <c r="K434" s="86">
        <f>K430+K431+K433+K432</f>
        <v>19.2136</v>
      </c>
      <c r="L434" s="86">
        <f>L430+L431+L433+L432</f>
        <v>19.2136</v>
      </c>
      <c r="M434" s="86">
        <f>J434+K434+L434</f>
        <v>57.640799999999999</v>
      </c>
      <c r="N434" s="86">
        <f>N430+N431+N432+N433</f>
        <v>19.2136</v>
      </c>
      <c r="O434" s="86">
        <f>O430+O431+O432+O433</f>
        <v>19.2136</v>
      </c>
      <c r="P434" s="86">
        <f>P430+P431+P432+P433</f>
        <v>19.2136</v>
      </c>
      <c r="Q434" s="86">
        <f>N434+O434+P434</f>
        <v>57.640799999999999</v>
      </c>
      <c r="R434" s="86">
        <f>E434+I434+M434+Q434</f>
        <v>230.56319999999999</v>
      </c>
      <c r="S434" s="86"/>
      <c r="T434" s="86"/>
      <c r="U434" s="86"/>
      <c r="V434" s="86"/>
    </row>
    <row r="439" spans="1:22">
      <c r="A439" s="106" t="s">
        <v>198</v>
      </c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</row>
    <row r="440" spans="1:22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</row>
    <row r="441" spans="1:22">
      <c r="A441" s="86" t="s">
        <v>3</v>
      </c>
      <c r="B441" s="102" t="s">
        <v>4</v>
      </c>
      <c r="C441" s="102" t="s">
        <v>5</v>
      </c>
      <c r="D441" s="102" t="s">
        <v>6</v>
      </c>
      <c r="E441" s="102" t="s">
        <v>7</v>
      </c>
      <c r="F441" s="102" t="s">
        <v>8</v>
      </c>
      <c r="G441" s="102" t="s">
        <v>9</v>
      </c>
      <c r="H441" s="102" t="s">
        <v>10</v>
      </c>
      <c r="I441" s="102" t="s">
        <v>11</v>
      </c>
      <c r="J441" s="102" t="s">
        <v>12</v>
      </c>
      <c r="K441" s="102" t="s">
        <v>67</v>
      </c>
      <c r="L441" s="102" t="s">
        <v>68</v>
      </c>
      <c r="M441" s="102" t="s">
        <v>15</v>
      </c>
      <c r="N441" s="102" t="s">
        <v>16</v>
      </c>
      <c r="O441" s="102" t="s">
        <v>17</v>
      </c>
      <c r="P441" s="102" t="s">
        <v>18</v>
      </c>
      <c r="Q441" s="102" t="s">
        <v>69</v>
      </c>
      <c r="R441" s="102" t="s">
        <v>44</v>
      </c>
    </row>
    <row r="442" spans="1:22">
      <c r="A442" s="185" t="s">
        <v>50</v>
      </c>
      <c r="B442" s="86">
        <f>'BUDGET COMMERCIALE'!B27+'BUDGET COMMERCIALE'!B33</f>
        <v>392000</v>
      </c>
      <c r="C442" s="86">
        <f>'BUDGET COMMERCIALE'!C27+'BUDGET COMMERCIALE'!C33</f>
        <v>380000</v>
      </c>
      <c r="D442" s="86">
        <f>'BUDGET COMMERCIALE'!D27+'BUDGET COMMERCIALE'!D33</f>
        <v>416000</v>
      </c>
      <c r="E442" s="86">
        <f>SUM(B442:D442)</f>
        <v>1188000</v>
      </c>
      <c r="F442" s="86">
        <f>'BUDGET COMMERCIALE'!F27+'BUDGET COMMERCIALE'!F33</f>
        <v>430000</v>
      </c>
      <c r="G442" s="86">
        <f>'BUDGET COMMERCIALE'!G27+'BUDGET COMMERCIALE'!G33</f>
        <v>468000</v>
      </c>
      <c r="H442" s="86">
        <f>'BUDGET COMMERCIALE'!H27+'BUDGET COMMERCIALE'!H33</f>
        <v>497200</v>
      </c>
      <c r="I442" s="86">
        <f>F442+G442+H442</f>
        <v>1395200</v>
      </c>
      <c r="J442" s="86">
        <f>'BUDGET COMMERCIALE'!J27+'BUDGET COMMERCIALE'!J33</f>
        <v>506400</v>
      </c>
      <c r="K442" s="86">
        <f>'BUDGET COMMERCIALE'!K27+'BUDGET COMMERCIALE'!K33</f>
        <v>485200</v>
      </c>
      <c r="L442" s="86">
        <f>'BUDGET COMMERCIALE'!L27+'BUDGET COMMERCIALE'!L33</f>
        <v>464800</v>
      </c>
      <c r="M442" s="86">
        <f>J442+K442+L442</f>
        <v>1456400</v>
      </c>
      <c r="N442" s="86">
        <f>'BUDGET COMMERCIALE'!N27+'BUDGET COMMERCIALE'!N33</f>
        <v>433600</v>
      </c>
      <c r="O442" s="86">
        <f>'BUDGET COMMERCIALE'!O27+'BUDGET COMMERCIALE'!O33</f>
        <v>389200</v>
      </c>
      <c r="P442" s="86">
        <f>'BUDGET COMMERCIALE'!P27+'BUDGET COMMERCIALE'!P33</f>
        <v>354400</v>
      </c>
      <c r="Q442" s="86">
        <f>N442+O442+P442</f>
        <v>1177200</v>
      </c>
      <c r="R442" s="86">
        <f>E442+I442+M442+Q442</f>
        <v>5216800</v>
      </c>
    </row>
    <row r="443" spans="1:22">
      <c r="A443" s="86" t="s">
        <v>26</v>
      </c>
      <c r="B443" s="184">
        <f>'BUDGET COMMERCIALE'!B97</f>
        <v>9360</v>
      </c>
      <c r="C443" s="184">
        <f>'BUDGET COMMERCIALE'!C97</f>
        <v>9200</v>
      </c>
      <c r="D443" s="184">
        <f>'BUDGET COMMERCIALE'!D97</f>
        <v>10080</v>
      </c>
      <c r="E443" s="138">
        <f>'BUDGET COMMERCIALE'!E97</f>
        <v>28640</v>
      </c>
      <c r="F443" s="184">
        <f>'BUDGET COMMERCIALE'!F97</f>
        <v>10500</v>
      </c>
      <c r="G443" s="184">
        <f>'BUDGET COMMERCIALE'!G97</f>
        <v>11440</v>
      </c>
      <c r="H443" s="184">
        <f>'BUDGET COMMERCIALE'!H97</f>
        <v>12116</v>
      </c>
      <c r="I443" s="138">
        <f>'BUDGET COMMERCIALE'!I97</f>
        <v>34056</v>
      </c>
      <c r="J443" s="138">
        <f>'BUDGET COMMERCIALE'!J97</f>
        <v>12472</v>
      </c>
      <c r="K443" s="138">
        <f>'BUDGET COMMERCIALE'!K97</f>
        <v>12016</v>
      </c>
      <c r="L443" s="138">
        <f>'BUDGET COMMERCIALE'!L97</f>
        <v>11464</v>
      </c>
      <c r="M443" s="138">
        <f>'BUDGET COMMERCIALE'!M97</f>
        <v>35952</v>
      </c>
      <c r="N443" s="184">
        <f>'BUDGET COMMERCIALE'!N97</f>
        <v>10664</v>
      </c>
      <c r="O443" s="184">
        <f>'BUDGET COMMERCIALE'!O97</f>
        <v>9508</v>
      </c>
      <c r="P443" s="184">
        <f>'BUDGET COMMERCIALE'!P97</f>
        <v>8632</v>
      </c>
      <c r="Q443" s="138">
        <f>'BUDGET COMMERCIALE'!Q97</f>
        <v>28804</v>
      </c>
      <c r="R443" s="138">
        <f>'BUDGET COMMERCIALE'!R97</f>
        <v>127452</v>
      </c>
    </row>
    <row r="444" spans="1:22">
      <c r="A444" s="185" t="s">
        <v>52</v>
      </c>
      <c r="B444" s="86">
        <f>'BUDGET COMMERCIALE'!B98</f>
        <v>382640</v>
      </c>
      <c r="C444" s="86">
        <f>'BUDGET COMMERCIALE'!C98</f>
        <v>370800</v>
      </c>
      <c r="D444" s="86">
        <f>'BUDGET COMMERCIALE'!D98</f>
        <v>405920</v>
      </c>
      <c r="E444" s="138">
        <f>'BUDGET COMMERCIALE'!E98</f>
        <v>1159360</v>
      </c>
      <c r="F444" s="86">
        <f>'BUDGET COMMERCIALE'!F98</f>
        <v>419500</v>
      </c>
      <c r="G444" s="86">
        <f>'BUDGET COMMERCIALE'!G98</f>
        <v>456560</v>
      </c>
      <c r="H444" s="86">
        <f>'BUDGET COMMERCIALE'!H98</f>
        <v>485084</v>
      </c>
      <c r="I444" s="138">
        <f>'BUDGET COMMERCIALE'!I98</f>
        <v>1361144</v>
      </c>
      <c r="J444" s="138">
        <f>'BUDGET COMMERCIALE'!J98</f>
        <v>493928</v>
      </c>
      <c r="K444" s="138">
        <f>'BUDGET COMMERCIALE'!K98</f>
        <v>473184</v>
      </c>
      <c r="L444" s="138">
        <f>'BUDGET COMMERCIALE'!L98</f>
        <v>476264</v>
      </c>
      <c r="M444" s="138">
        <f>'BUDGET COMMERCIALE'!M98</f>
        <v>1420448</v>
      </c>
      <c r="N444" s="86">
        <f>'BUDGET COMMERCIALE'!N98</f>
        <v>422936</v>
      </c>
      <c r="O444" s="86">
        <f>'BUDGET COMMERCIALE'!O98</f>
        <v>398708</v>
      </c>
      <c r="P444" s="86">
        <f>'BUDGET COMMERCIALE'!P98</f>
        <v>363032</v>
      </c>
      <c r="Q444" s="138">
        <f>'BUDGET COMMERCIALE'!Q98</f>
        <v>1148396</v>
      </c>
      <c r="R444" s="138">
        <f>'BUDGET COMMERCIALE'!R98</f>
        <v>5089348</v>
      </c>
    </row>
    <row r="445" spans="1:22">
      <c r="A445" s="86" t="s">
        <v>199</v>
      </c>
      <c r="B445" s="184">
        <f>B7</f>
        <v>1</v>
      </c>
      <c r="C445" s="184">
        <f>C7</f>
        <v>950</v>
      </c>
      <c r="D445" s="184">
        <f>D7</f>
        <v>1040</v>
      </c>
      <c r="E445" s="138">
        <f>E7</f>
        <v>1991</v>
      </c>
      <c r="F445" s="184">
        <f>F7</f>
        <v>1075</v>
      </c>
      <c r="G445" s="184">
        <f>G7</f>
        <v>1170</v>
      </c>
      <c r="H445" s="184">
        <f>H7</f>
        <v>1864.5</v>
      </c>
      <c r="I445" s="138">
        <f>I7</f>
        <v>4109.5</v>
      </c>
      <c r="J445" s="138">
        <f>J7</f>
        <v>1899</v>
      </c>
      <c r="K445" s="138">
        <f>K7</f>
        <v>1819.5</v>
      </c>
      <c r="L445" s="138">
        <f>L7</f>
        <v>1743</v>
      </c>
      <c r="M445" s="138">
        <f>M7</f>
        <v>5461.5</v>
      </c>
      <c r="N445" s="184">
        <f>N7</f>
        <v>1626</v>
      </c>
      <c r="O445" s="184">
        <f>O7</f>
        <v>1459.5</v>
      </c>
      <c r="P445" s="184">
        <f>P7</f>
        <v>886</v>
      </c>
      <c r="Q445" s="138">
        <f>Q7</f>
        <v>3971.5</v>
      </c>
      <c r="R445" s="138">
        <f>R7</f>
        <v>15533.5</v>
      </c>
    </row>
    <row r="446" spans="1:22">
      <c r="A446" s="86" t="s">
        <v>200</v>
      </c>
      <c r="B446" s="184">
        <f>B17</f>
        <v>950</v>
      </c>
      <c r="C446" s="184">
        <f>C17</f>
        <v>1040</v>
      </c>
      <c r="D446" s="184">
        <f>D17</f>
        <v>1075</v>
      </c>
      <c r="E446" s="138">
        <f>E17</f>
        <v>3065</v>
      </c>
      <c r="F446" s="184">
        <f>F17</f>
        <v>1170</v>
      </c>
      <c r="G446" s="184">
        <f>G17</f>
        <v>1864.5</v>
      </c>
      <c r="H446" s="184">
        <f>H17</f>
        <v>1899</v>
      </c>
      <c r="I446" s="138">
        <f>I17</f>
        <v>4933.5</v>
      </c>
      <c r="J446" s="138">
        <f>J17</f>
        <v>1819.5</v>
      </c>
      <c r="K446" s="138">
        <f>K17</f>
        <v>1743</v>
      </c>
      <c r="L446" s="138">
        <f>L17</f>
        <v>1626</v>
      </c>
      <c r="M446" s="138">
        <f>M17</f>
        <v>5188.5</v>
      </c>
      <c r="N446" s="184">
        <f>N17</f>
        <v>1459.5</v>
      </c>
      <c r="O446" s="184">
        <f>O17</f>
        <v>886</v>
      </c>
      <c r="P446" s="184">
        <f>P17</f>
        <v>980</v>
      </c>
      <c r="Q446" s="138">
        <f>Q17</f>
        <v>3325.5</v>
      </c>
      <c r="R446" s="138">
        <f>R17</f>
        <v>16512.5</v>
      </c>
    </row>
    <row r="447" spans="1:22">
      <c r="A447" s="185" t="s">
        <v>201</v>
      </c>
      <c r="B447" s="86">
        <f>B444+B446-B445</f>
        <v>383589</v>
      </c>
      <c r="C447" s="86">
        <f>C444+C446-C445</f>
        <v>370890</v>
      </c>
      <c r="D447" s="86">
        <f t="shared" ref="D447:R447" si="138">D444+D446-D445</f>
        <v>405955</v>
      </c>
      <c r="E447" s="86">
        <f t="shared" si="138"/>
        <v>1160434</v>
      </c>
      <c r="F447" s="86">
        <f t="shared" si="138"/>
        <v>419595</v>
      </c>
      <c r="G447" s="86">
        <f t="shared" si="138"/>
        <v>457254.5</v>
      </c>
      <c r="H447" s="86">
        <f t="shared" si="138"/>
        <v>485118.5</v>
      </c>
      <c r="I447" s="86">
        <f t="shared" si="138"/>
        <v>1361968</v>
      </c>
      <c r="J447" s="86">
        <f t="shared" si="138"/>
        <v>493848.5</v>
      </c>
      <c r="K447" s="86">
        <f t="shared" si="138"/>
        <v>473107.5</v>
      </c>
      <c r="L447" s="86">
        <f t="shared" si="138"/>
        <v>476147</v>
      </c>
      <c r="M447" s="86">
        <f t="shared" si="138"/>
        <v>1420175</v>
      </c>
      <c r="N447" s="86">
        <f t="shared" si="138"/>
        <v>422769.5</v>
      </c>
      <c r="O447" s="86">
        <f t="shared" si="138"/>
        <v>398134.5</v>
      </c>
      <c r="P447" s="86">
        <f t="shared" si="138"/>
        <v>363126</v>
      </c>
      <c r="Q447" s="86">
        <f t="shared" si="138"/>
        <v>1147750</v>
      </c>
      <c r="R447" s="86">
        <f t="shared" si="138"/>
        <v>5090327</v>
      </c>
    </row>
    <row r="448" spans="1:22">
      <c r="A448" s="86" t="s">
        <v>202</v>
      </c>
      <c r="B448" s="98">
        <f>B27*B371</f>
        <v>295582.75761197344</v>
      </c>
      <c r="C448" s="98">
        <f>C30*$C$368</f>
        <v>10390.043600000001</v>
      </c>
      <c r="D448" s="98">
        <f>D30*$D$368</f>
        <v>12750.6872</v>
      </c>
      <c r="E448" s="96">
        <f>D448+C448+B448</f>
        <v>318723.48841197346</v>
      </c>
      <c r="F448" s="98">
        <f>F30*$F$368</f>
        <v>16370.340720000004</v>
      </c>
      <c r="G448" s="98">
        <f>G30*$G$368</f>
        <v>22893.425279999999</v>
      </c>
      <c r="H448" s="98">
        <f>H30*$H$368</f>
        <v>21004.910400000001</v>
      </c>
      <c r="I448" s="96">
        <f>H448+G447+F448</f>
        <v>494629.75111999997</v>
      </c>
      <c r="J448" s="96">
        <f>J30*$J$368</f>
        <v>9983.5749999999989</v>
      </c>
      <c r="K448" s="96">
        <f>K30*$K$368</f>
        <v>10159.849999999999</v>
      </c>
      <c r="L448" s="96">
        <f>L30*$L$368</f>
        <v>8974</v>
      </c>
      <c r="M448" s="96">
        <f>L448+K448+J448</f>
        <v>29117.424999999996</v>
      </c>
      <c r="N448" s="98">
        <f>N30*$N$368</f>
        <v>7948.4</v>
      </c>
      <c r="O448" s="98">
        <f>O30*$O$368</f>
        <v>7034.9749999999995</v>
      </c>
      <c r="P448" s="98">
        <f>P30*$P$368</f>
        <v>7868.2749999999996</v>
      </c>
      <c r="Q448" s="96">
        <f>P448+O448+N448</f>
        <v>22851.65</v>
      </c>
      <c r="R448" s="96">
        <f>Q448+M448+I448+E448</f>
        <v>865322.31453197345</v>
      </c>
    </row>
    <row r="449" spans="1:18">
      <c r="A449" s="185" t="s">
        <v>203</v>
      </c>
      <c r="B449" s="86">
        <f>B447-B448</f>
        <v>88006.242388026556</v>
      </c>
      <c r="C449" s="86">
        <f>C447-C448</f>
        <v>360499.95640000002</v>
      </c>
      <c r="D449" s="86">
        <f>D447-D448</f>
        <v>393204.31280000001</v>
      </c>
      <c r="E449" s="86">
        <f>E447-E448</f>
        <v>841710.51158802654</v>
      </c>
      <c r="F449" s="86">
        <f>F447-F448</f>
        <v>403224.65928000002</v>
      </c>
      <c r="G449" s="86">
        <f>G447-G448</f>
        <v>434361.07471999998</v>
      </c>
      <c r="H449" s="86">
        <f>H447-H448</f>
        <v>464113.58960000001</v>
      </c>
      <c r="I449" s="86">
        <f>I447-I448</f>
        <v>867338.24888000009</v>
      </c>
      <c r="J449" s="86">
        <f>J447-J448</f>
        <v>483864.92499999999</v>
      </c>
      <c r="K449" s="86">
        <f>K447-K448</f>
        <v>462947.65</v>
      </c>
      <c r="L449" s="86">
        <f>L447-L448</f>
        <v>467173</v>
      </c>
      <c r="M449" s="86">
        <f>M447-M448</f>
        <v>1391057.575</v>
      </c>
      <c r="N449" s="86">
        <f>N447-N448</f>
        <v>414821.1</v>
      </c>
      <c r="O449" s="86">
        <f>O447-O448</f>
        <v>391099.52500000002</v>
      </c>
      <c r="P449" s="86">
        <f>P447-P448</f>
        <v>355257.72499999998</v>
      </c>
      <c r="Q449" s="86">
        <f>Q447-Q448</f>
        <v>1124898.3500000001</v>
      </c>
      <c r="R449" s="86">
        <f>Q449+M449+I449+E449</f>
        <v>4225004.6854680264</v>
      </c>
    </row>
    <row r="450" spans="1:18">
      <c r="J450" s="25"/>
      <c r="K450" s="25"/>
      <c r="L450" s="25"/>
    </row>
    <row r="451" spans="1:18">
      <c r="J451" s="25"/>
      <c r="K451" s="25"/>
      <c r="L451" s="25"/>
    </row>
    <row r="452" spans="1:18">
      <c r="J452" s="25"/>
      <c r="K452" s="25"/>
      <c r="L452" s="25"/>
    </row>
    <row r="453" spans="1:18">
      <c r="J453" s="25"/>
      <c r="K453" s="25"/>
      <c r="L453" s="25"/>
    </row>
    <row r="454" spans="1:18">
      <c r="J454" s="25"/>
      <c r="K454" s="25"/>
      <c r="L454" s="25"/>
    </row>
    <row r="455" spans="1:18">
      <c r="A455" s="106" t="s">
        <v>204</v>
      </c>
      <c r="B455" s="151"/>
      <c r="C455" s="151"/>
      <c r="D455" s="151"/>
      <c r="E455" s="106"/>
      <c r="F455" s="151"/>
      <c r="G455" s="151"/>
      <c r="H455" s="151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</row>
    <row r="456" spans="1:18">
      <c r="A456" s="86"/>
      <c r="B456" s="149"/>
      <c r="C456" s="149"/>
      <c r="D456" s="149"/>
      <c r="E456" s="86"/>
      <c r="F456" s="149"/>
      <c r="G456" s="149"/>
      <c r="H456" s="149"/>
      <c r="I456" s="86"/>
      <c r="J456" s="86"/>
      <c r="K456" s="86"/>
      <c r="L456" s="86"/>
      <c r="M456" s="86"/>
      <c r="N456" s="86"/>
      <c r="O456" s="86"/>
      <c r="P456" s="86"/>
      <c r="Q456" s="86"/>
      <c r="R456" s="86"/>
    </row>
    <row r="457" spans="1:18">
      <c r="A457" s="86" t="str">
        <f>A441</f>
        <v>LUREX 1</v>
      </c>
      <c r="B457" s="102" t="s">
        <v>4</v>
      </c>
      <c r="C457" s="102" t="s">
        <v>5</v>
      </c>
      <c r="D457" s="102" t="s">
        <v>6</v>
      </c>
      <c r="E457" s="102" t="s">
        <v>7</v>
      </c>
      <c r="F457" s="102" t="s">
        <v>8</v>
      </c>
      <c r="G457" s="102" t="s">
        <v>9</v>
      </c>
      <c r="H457" s="102" t="s">
        <v>10</v>
      </c>
      <c r="I457" s="102" t="s">
        <v>11</v>
      </c>
      <c r="J457" s="102" t="s">
        <v>12</v>
      </c>
      <c r="K457" s="102" t="s">
        <v>67</v>
      </c>
      <c r="L457" s="102" t="s">
        <v>68</v>
      </c>
      <c r="M457" s="102" t="s">
        <v>15</v>
      </c>
      <c r="N457" s="102" t="s">
        <v>16</v>
      </c>
      <c r="O457" s="102" t="s">
        <v>17</v>
      </c>
      <c r="P457" s="102" t="s">
        <v>18</v>
      </c>
      <c r="Q457" s="102" t="s">
        <v>69</v>
      </c>
      <c r="R457" s="102" t="s">
        <v>44</v>
      </c>
    </row>
    <row r="458" spans="1:18">
      <c r="A458" s="185" t="s">
        <v>50</v>
      </c>
      <c r="B458" s="138">
        <f>'BUDGET COMMERCIALE'!B107</f>
        <v>392000</v>
      </c>
      <c r="C458" s="138">
        <f>'BUDGET COMMERCIALE'!C107</f>
        <v>380000</v>
      </c>
      <c r="D458" s="138">
        <f>'BUDGET COMMERCIALE'!D107</f>
        <v>416000</v>
      </c>
      <c r="E458" s="138">
        <f>'BUDGET COMMERCIALE'!E107</f>
        <v>1188000</v>
      </c>
      <c r="F458" s="138">
        <f>'BUDGET COMMERCIALE'!F107</f>
        <v>430000</v>
      </c>
      <c r="G458" s="138">
        <f>'BUDGET COMMERCIALE'!G107</f>
        <v>468000</v>
      </c>
      <c r="H458" s="138">
        <f>'BUDGET COMMERCIALE'!H107</f>
        <v>497200</v>
      </c>
      <c r="I458" s="138">
        <f>'BUDGET COMMERCIALE'!I107</f>
        <v>1395200</v>
      </c>
      <c r="J458" s="138">
        <f>'BUDGET COMMERCIALE'!J107</f>
        <v>506400</v>
      </c>
      <c r="K458" s="138">
        <f>'BUDGET COMMERCIALE'!K107</f>
        <v>485200</v>
      </c>
      <c r="L458" s="138">
        <f>'BUDGET COMMERCIALE'!L107</f>
        <v>464800</v>
      </c>
      <c r="M458" s="138">
        <f>'BUDGET COMMERCIALE'!M107</f>
        <v>1456400</v>
      </c>
      <c r="N458" s="138">
        <f>'BUDGET COMMERCIALE'!N107</f>
        <v>433600</v>
      </c>
      <c r="O458" s="138">
        <f>'BUDGET COMMERCIALE'!O107</f>
        <v>389200</v>
      </c>
      <c r="P458" s="138">
        <f>'BUDGET COMMERCIALE'!P107</f>
        <v>354400</v>
      </c>
      <c r="Q458" s="138">
        <f>'BUDGET COMMERCIALE'!Q107</f>
        <v>1177200</v>
      </c>
      <c r="R458" s="138">
        <f t="shared" ref="R458:R463" si="139">SUM(E458+I458+M458+Q458)</f>
        <v>5216800</v>
      </c>
    </row>
    <row r="459" spans="1:18">
      <c r="A459" s="86" t="s">
        <v>26</v>
      </c>
      <c r="B459" s="184">
        <f>'BUDGET COMMERCIALE'!B108</f>
        <v>9360</v>
      </c>
      <c r="C459" s="184">
        <f>'BUDGET COMMERCIALE'!C108</f>
        <v>9200</v>
      </c>
      <c r="D459" s="184">
        <f>'BUDGET COMMERCIALE'!D108</f>
        <v>10080</v>
      </c>
      <c r="E459" s="138">
        <f>'BUDGET COMMERCIALE'!E108</f>
        <v>28640</v>
      </c>
      <c r="F459" s="184">
        <f>'BUDGET COMMERCIALE'!F108</f>
        <v>10500</v>
      </c>
      <c r="G459" s="184">
        <f>'BUDGET COMMERCIALE'!G108</f>
        <v>11440</v>
      </c>
      <c r="H459" s="184">
        <f>'BUDGET COMMERCIALE'!H108</f>
        <v>12116</v>
      </c>
      <c r="I459" s="138">
        <f>'BUDGET COMMERCIALE'!I108</f>
        <v>34056</v>
      </c>
      <c r="J459" s="138">
        <f>'BUDGET COMMERCIALE'!J108</f>
        <v>12472</v>
      </c>
      <c r="K459" s="138">
        <f>'BUDGET COMMERCIALE'!K108</f>
        <v>12016</v>
      </c>
      <c r="L459" s="138">
        <f>'BUDGET COMMERCIALE'!L108</f>
        <v>11464</v>
      </c>
      <c r="M459" s="138">
        <f>'BUDGET COMMERCIALE'!M108</f>
        <v>35952</v>
      </c>
      <c r="N459" s="184">
        <f>'BUDGET COMMERCIALE'!N108</f>
        <v>10664</v>
      </c>
      <c r="O459" s="184">
        <f>'BUDGET COMMERCIALE'!O108</f>
        <v>9508</v>
      </c>
      <c r="P459" s="184">
        <f>'BUDGET COMMERCIALE'!P108</f>
        <v>8632</v>
      </c>
      <c r="Q459" s="138">
        <f>'BUDGET COMMERCIALE'!Q108</f>
        <v>28804</v>
      </c>
      <c r="R459" s="138">
        <f t="shared" si="139"/>
        <v>127452</v>
      </c>
    </row>
    <row r="460" spans="1:18">
      <c r="A460" s="185" t="s">
        <v>52</v>
      </c>
      <c r="B460" s="86">
        <f t="shared" ref="B460:Q460" si="140">SUM(B458-B459)</f>
        <v>382640</v>
      </c>
      <c r="C460" s="86">
        <f t="shared" si="140"/>
        <v>370800</v>
      </c>
      <c r="D460" s="86">
        <f t="shared" si="140"/>
        <v>405920</v>
      </c>
      <c r="E460" s="138">
        <f t="shared" si="140"/>
        <v>1159360</v>
      </c>
      <c r="F460" s="86">
        <f t="shared" si="140"/>
        <v>419500</v>
      </c>
      <c r="G460" s="86">
        <f t="shared" si="140"/>
        <v>456560</v>
      </c>
      <c r="H460" s="86">
        <f t="shared" si="140"/>
        <v>485084</v>
      </c>
      <c r="I460" s="138">
        <f t="shared" si="140"/>
        <v>1361144</v>
      </c>
      <c r="J460" s="138">
        <f t="shared" si="140"/>
        <v>493928</v>
      </c>
      <c r="K460" s="138">
        <f t="shared" si="140"/>
        <v>473184</v>
      </c>
      <c r="L460" s="138">
        <f t="shared" si="140"/>
        <v>453336</v>
      </c>
      <c r="M460" s="138">
        <f t="shared" si="140"/>
        <v>1420448</v>
      </c>
      <c r="N460" s="86">
        <f t="shared" si="140"/>
        <v>422936</v>
      </c>
      <c r="O460" s="86">
        <f t="shared" si="140"/>
        <v>379692</v>
      </c>
      <c r="P460" s="86">
        <f t="shared" si="140"/>
        <v>345768</v>
      </c>
      <c r="Q460" s="138">
        <f t="shared" si="140"/>
        <v>1148396</v>
      </c>
      <c r="R460" s="138">
        <f t="shared" si="139"/>
        <v>5089348</v>
      </c>
    </row>
    <row r="461" spans="1:18" ht="15">
      <c r="A461" s="86" t="s">
        <v>199</v>
      </c>
      <c r="B461" s="115">
        <f>B8</f>
        <v>1</v>
      </c>
      <c r="C461" s="115">
        <f>C8</f>
        <v>345</v>
      </c>
      <c r="D461" s="115">
        <f>D8</f>
        <v>390</v>
      </c>
      <c r="E461" s="116">
        <f>E8</f>
        <v>736</v>
      </c>
      <c r="F461" s="115">
        <f>F8</f>
        <v>777</v>
      </c>
      <c r="G461" s="115">
        <f>G8</f>
        <v>1690</v>
      </c>
      <c r="H461" s="115">
        <f>H8</f>
        <v>1858</v>
      </c>
      <c r="I461" s="116">
        <f>I8</f>
        <v>4325</v>
      </c>
      <c r="J461" s="115">
        <f>J8</f>
        <v>1890</v>
      </c>
      <c r="K461" s="115">
        <f>K8</f>
        <v>1820</v>
      </c>
      <c r="L461" s="115">
        <f>L8</f>
        <v>860</v>
      </c>
      <c r="M461" s="116">
        <f>M8</f>
        <v>4570</v>
      </c>
      <c r="N461" s="115">
        <f>N8</f>
        <v>821</v>
      </c>
      <c r="O461" s="115">
        <f>O8</f>
        <v>382</v>
      </c>
      <c r="P461" s="115">
        <f>P8</f>
        <v>347</v>
      </c>
      <c r="Q461" s="116">
        <f>Q8</f>
        <v>1550</v>
      </c>
      <c r="R461" s="124">
        <f>R8</f>
        <v>11181</v>
      </c>
    </row>
    <row r="462" spans="1:18" ht="15">
      <c r="A462" s="86" t="s">
        <v>200</v>
      </c>
      <c r="B462" s="117">
        <f>B23</f>
        <v>345</v>
      </c>
      <c r="C462" s="117">
        <f>C23</f>
        <v>390</v>
      </c>
      <c r="D462" s="119">
        <f>D23</f>
        <v>777</v>
      </c>
      <c r="E462" s="116">
        <f>SUM(B462:D462)</f>
        <v>1512</v>
      </c>
      <c r="F462" s="115">
        <f>F23</f>
        <v>1690</v>
      </c>
      <c r="G462" s="115">
        <f>G23</f>
        <v>1858</v>
      </c>
      <c r="H462" s="115">
        <f t="shared" ref="H462:I462" si="141">H23</f>
        <v>1890</v>
      </c>
      <c r="I462" s="115">
        <f t="shared" si="141"/>
        <v>5438</v>
      </c>
      <c r="J462" s="115">
        <f>J23</f>
        <v>1820</v>
      </c>
      <c r="K462" s="115">
        <f t="shared" ref="K462:L462" si="142">K23</f>
        <v>860</v>
      </c>
      <c r="L462" s="115">
        <f t="shared" si="142"/>
        <v>821</v>
      </c>
      <c r="M462" s="116">
        <f>SUM(J462:L462)</f>
        <v>3501</v>
      </c>
      <c r="N462" s="115">
        <f>N23</f>
        <v>382</v>
      </c>
      <c r="O462" s="115">
        <f>O23</f>
        <v>347</v>
      </c>
      <c r="P462" s="115">
        <f>P23</f>
        <v>365</v>
      </c>
      <c r="Q462" s="116">
        <f>SUM(N462:P462)</f>
        <v>1094</v>
      </c>
      <c r="R462" s="124">
        <f>SUM(E462+I462+M462+Q462)</f>
        <v>11545</v>
      </c>
    </row>
    <row r="463" spans="1:18">
      <c r="A463" s="185" t="s">
        <v>201</v>
      </c>
      <c r="B463" s="86">
        <f>SUM(B460+B462-B461)</f>
        <v>382984</v>
      </c>
      <c r="C463" s="86">
        <f>SUM(C460+C462-C461)</f>
        <v>370845</v>
      </c>
      <c r="D463" s="86">
        <f>SUM(D460+D462-D461)</f>
        <v>406307</v>
      </c>
      <c r="E463" s="138">
        <f>SUM(B463:D463)</f>
        <v>1160136</v>
      </c>
      <c r="F463" s="86">
        <f t="shared" ref="F463:Q463" si="143">SUM(F460+F462-F461)</f>
        <v>420413</v>
      </c>
      <c r="G463" s="86">
        <f t="shared" si="143"/>
        <v>456728</v>
      </c>
      <c r="H463" s="86">
        <f t="shared" si="143"/>
        <v>485116</v>
      </c>
      <c r="I463" s="138">
        <f t="shared" si="143"/>
        <v>1362257</v>
      </c>
      <c r="J463" s="138">
        <f t="shared" si="143"/>
        <v>493858</v>
      </c>
      <c r="K463" s="138">
        <f t="shared" si="143"/>
        <v>472224</v>
      </c>
      <c r="L463" s="138">
        <f t="shared" si="143"/>
        <v>453297</v>
      </c>
      <c r="M463" s="138">
        <f t="shared" si="143"/>
        <v>1419379</v>
      </c>
      <c r="N463" s="86">
        <f t="shared" si="143"/>
        <v>422497</v>
      </c>
      <c r="O463" s="86">
        <f t="shared" si="143"/>
        <v>379657</v>
      </c>
      <c r="P463" s="86">
        <f>SUM(P460+P462-P461)</f>
        <v>345786</v>
      </c>
      <c r="Q463" s="138">
        <f t="shared" si="143"/>
        <v>1147940</v>
      </c>
      <c r="R463" s="138">
        <f t="shared" si="139"/>
        <v>5089712</v>
      </c>
    </row>
    <row r="464" spans="1:18">
      <c r="A464" s="86" t="s">
        <v>202</v>
      </c>
      <c r="B464" s="184">
        <f>B28*B382</f>
        <v>185105.80625833332</v>
      </c>
      <c r="C464" s="184">
        <f>C28*C382</f>
        <v>168178.94092937271</v>
      </c>
      <c r="D464" s="184">
        <f>D28*D382</f>
        <v>198255.00207181775</v>
      </c>
      <c r="E464" s="138">
        <f>E28*E382</f>
        <v>1654619.2477785714</v>
      </c>
      <c r="F464" s="184">
        <f>F28*F382</f>
        <v>210266.05386461384</v>
      </c>
      <c r="G464" s="184">
        <f>G28*G382</f>
        <v>208692.02489983212</v>
      </c>
      <c r="H464" s="184">
        <f>H28*H382</f>
        <v>225739.9693799298</v>
      </c>
      <c r="I464" s="138">
        <f>I28*I382</f>
        <v>1934094.1444331273</v>
      </c>
      <c r="J464" s="138">
        <f>J28*J382</f>
        <v>92638.623770985956</v>
      </c>
      <c r="K464" s="138">
        <f>K28*K382</f>
        <v>196887.31005112943</v>
      </c>
      <c r="L464" s="138">
        <f>L28*L382</f>
        <v>207070.30237686966</v>
      </c>
      <c r="M464" s="138">
        <f>M28*M382</f>
        <v>1489788.7085969553</v>
      </c>
      <c r="N464" s="184">
        <f>N28*N382</f>
        <v>187962.07449721461</v>
      </c>
      <c r="O464" s="184">
        <f>O28*O382</f>
        <v>183946.92787946429</v>
      </c>
      <c r="P464" s="184">
        <f>P28*P382</f>
        <v>168297.53112232906</v>
      </c>
      <c r="Q464" s="138">
        <f>Q28*Q382</f>
        <v>1620619.6004970239</v>
      </c>
      <c r="R464" s="138">
        <f>R28*R382</f>
        <v>26795381.252422713</v>
      </c>
    </row>
    <row r="465" spans="1:18">
      <c r="A465" s="185" t="s">
        <v>203</v>
      </c>
      <c r="B465" s="86">
        <f>B463-B464</f>
        <v>197878.19374166668</v>
      </c>
      <c r="C465" s="86">
        <f t="shared" ref="B465:R465" si="144">C463-C464</f>
        <v>202666.05907062729</v>
      </c>
      <c r="D465" s="86">
        <f t="shared" si="144"/>
        <v>208051.99792818225</v>
      </c>
      <c r="E465" s="138">
        <f>D465+C465+B465</f>
        <v>608596.25074047619</v>
      </c>
      <c r="F465" s="86">
        <f t="shared" si="144"/>
        <v>210146.94613538616</v>
      </c>
      <c r="G465" s="86">
        <f t="shared" si="144"/>
        <v>248035.97510016788</v>
      </c>
      <c r="H465" s="86">
        <f t="shared" si="144"/>
        <v>259376.0306200702</v>
      </c>
      <c r="I465" s="138">
        <f>H465+G465+F465</f>
        <v>717558.95185562421</v>
      </c>
      <c r="J465" s="138">
        <f t="shared" si="144"/>
        <v>401219.37622901401</v>
      </c>
      <c r="K465" s="138">
        <f t="shared" si="144"/>
        <v>275336.68994887057</v>
      </c>
      <c r="L465" s="138">
        <f t="shared" si="144"/>
        <v>246226.69762313034</v>
      </c>
      <c r="M465" s="138">
        <f>L465+K465+J465</f>
        <v>922782.76380101498</v>
      </c>
      <c r="N465" s="86">
        <f t="shared" si="144"/>
        <v>234534.92550278539</v>
      </c>
      <c r="O465" s="86">
        <f t="shared" si="144"/>
        <v>195710.07212053571</v>
      </c>
      <c r="P465" s="86">
        <f t="shared" si="144"/>
        <v>177488.46887767094</v>
      </c>
      <c r="Q465" s="138">
        <f>P465+O465+N465</f>
        <v>607733.46650099207</v>
      </c>
      <c r="R465" s="138">
        <f>Q465+M465+I465+E465</f>
        <v>2856671.432898107</v>
      </c>
    </row>
    <row r="466" spans="1:18">
      <c r="J466" s="25"/>
      <c r="K466" s="25"/>
      <c r="L466" s="25"/>
    </row>
    <row r="467" spans="1:18">
      <c r="J467" s="25"/>
      <c r="K467" s="25"/>
      <c r="L467" s="25"/>
    </row>
    <row r="468" spans="1:18">
      <c r="J468" s="25"/>
      <c r="K468" s="25"/>
      <c r="L468" s="25"/>
    </row>
    <row r="469" spans="1:18">
      <c r="J469" s="25"/>
      <c r="K469" s="25"/>
      <c r="L469" s="25"/>
    </row>
    <row r="470" spans="1:18">
      <c r="J470" s="25"/>
      <c r="K470" s="25"/>
      <c r="L470" s="25"/>
    </row>
    <row r="471" spans="1:18">
      <c r="J471" s="25"/>
      <c r="K471" s="25"/>
      <c r="L471" s="25"/>
    </row>
    <row r="472" spans="1:18">
      <c r="A472" s="106" t="s">
        <v>205</v>
      </c>
      <c r="B472" s="151"/>
      <c r="C472" s="151"/>
      <c r="D472" s="151"/>
      <c r="E472" s="106"/>
      <c r="F472" s="151"/>
      <c r="G472" s="151"/>
      <c r="H472" s="151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</row>
    <row r="473" spans="1:18">
      <c r="A473" s="86"/>
      <c r="B473" s="149"/>
      <c r="C473" s="149"/>
      <c r="D473" s="149"/>
      <c r="E473" s="86"/>
      <c r="F473" s="149"/>
      <c r="G473" s="149"/>
      <c r="H473" s="149"/>
      <c r="I473" s="86"/>
      <c r="J473" s="86"/>
      <c r="K473" s="86"/>
      <c r="L473" s="86"/>
      <c r="M473" s="86"/>
      <c r="N473" s="86"/>
      <c r="O473" s="86"/>
      <c r="P473" s="86"/>
      <c r="Q473" s="86"/>
      <c r="R473" s="86"/>
    </row>
    <row r="474" spans="1:18">
      <c r="A474" s="86" t="str">
        <f>A457</f>
        <v>LUREX 1</v>
      </c>
      <c r="B474" s="102" t="s">
        <v>4</v>
      </c>
      <c r="C474" s="102" t="s">
        <v>5</v>
      </c>
      <c r="D474" s="102" t="s">
        <v>6</v>
      </c>
      <c r="E474" s="102" t="s">
        <v>7</v>
      </c>
      <c r="F474" s="102" t="s">
        <v>8</v>
      </c>
      <c r="G474" s="102" t="s">
        <v>9</v>
      </c>
      <c r="H474" s="102" t="s">
        <v>10</v>
      </c>
      <c r="I474" s="102" t="s">
        <v>11</v>
      </c>
      <c r="J474" s="102" t="s">
        <v>12</v>
      </c>
      <c r="K474" s="102" t="s">
        <v>67</v>
      </c>
      <c r="L474" s="102" t="s">
        <v>68</v>
      </c>
      <c r="M474" s="102" t="s">
        <v>15</v>
      </c>
      <c r="N474" s="102" t="s">
        <v>16</v>
      </c>
      <c r="O474" s="102" t="s">
        <v>17</v>
      </c>
      <c r="P474" s="102" t="s">
        <v>18</v>
      </c>
      <c r="Q474" s="102" t="s">
        <v>69</v>
      </c>
      <c r="R474" s="102" t="s">
        <v>44</v>
      </c>
    </row>
    <row r="475" spans="1:18">
      <c r="A475" s="185" t="s">
        <v>50</v>
      </c>
      <c r="B475" s="86">
        <f>'BUDGET COMMERCIALE'!B118</f>
        <v>60000</v>
      </c>
      <c r="C475" s="86">
        <f>'BUDGET COMMERCIALE'!C118</f>
        <v>60000</v>
      </c>
      <c r="D475" s="86">
        <f>'BUDGET COMMERCIALE'!D118</f>
        <v>75000</v>
      </c>
      <c r="E475" s="86">
        <f>SUM(B475:D475)</f>
        <v>195000</v>
      </c>
      <c r="F475" s="86">
        <f>'BUDGET COMMERCIALE'!F118</f>
        <v>100500</v>
      </c>
      <c r="G475" s="86">
        <f>'BUDGET COMMERCIALE'!G118</f>
        <v>115800</v>
      </c>
      <c r="H475" s="86">
        <f>'BUDGET COMMERCIALE'!H118</f>
        <v>123000</v>
      </c>
      <c r="I475" s="86">
        <f>SUM(F475:H475)</f>
        <v>339300</v>
      </c>
      <c r="J475" s="86">
        <f>'BUDGET COMMERCIALE'!J118</f>
        <v>117000</v>
      </c>
      <c r="K475" s="86">
        <f>'BUDGET COMMERCIALE'!K118</f>
        <v>121500</v>
      </c>
      <c r="L475" s="86">
        <f>'BUDGET COMMERCIALE'!L118</f>
        <v>114000</v>
      </c>
      <c r="M475" s="86">
        <f>SUM(J475:L475)</f>
        <v>352500</v>
      </c>
      <c r="N475" s="86">
        <f>'BUDGET COMMERCIALE'!N118</f>
        <v>94500</v>
      </c>
      <c r="O475" s="86">
        <f>'BUDGET COMMERCIALE'!O118</f>
        <v>86700</v>
      </c>
      <c r="P475" s="86">
        <f>'BUDGET COMMERCIALE'!P118</f>
        <v>63600</v>
      </c>
      <c r="Q475" s="86">
        <f>SUM(N475:P475)</f>
        <v>244800</v>
      </c>
      <c r="R475" s="86">
        <f>SUM(E475+I475+M475+Q475)</f>
        <v>1131600</v>
      </c>
    </row>
    <row r="476" spans="1:18">
      <c r="A476" s="86" t="s">
        <v>26</v>
      </c>
      <c r="B476" s="184">
        <f>'BUDGET COMMERCIALE'!B119</f>
        <v>2400</v>
      </c>
      <c r="C476" s="184">
        <f>'BUDGET COMMERCIALE'!C119</f>
        <v>2400</v>
      </c>
      <c r="D476" s="184">
        <f>'BUDGET COMMERCIALE'!D119</f>
        <v>3000</v>
      </c>
      <c r="E476" s="86">
        <f t="shared" ref="E476:E482" si="145">SUM(B476:D476)</f>
        <v>7800</v>
      </c>
      <c r="F476" s="184">
        <f>'BUDGET COMMERCIALE'!F119</f>
        <v>4020</v>
      </c>
      <c r="G476" s="184">
        <f>'BUDGET COMMERCIALE'!G119</f>
        <v>4632</v>
      </c>
      <c r="H476" s="184">
        <f>'BUDGET COMMERCIALE'!H119</f>
        <v>4920</v>
      </c>
      <c r="I476" s="86">
        <f t="shared" ref="I476:I482" si="146">SUM(F476:H476)</f>
        <v>13572</v>
      </c>
      <c r="J476" s="149">
        <f>'BUDGET COMMERCIALE'!J119</f>
        <v>4680</v>
      </c>
      <c r="K476" s="149">
        <f>'BUDGET COMMERCIALE'!K119</f>
        <v>4860</v>
      </c>
      <c r="L476" s="149">
        <f>'BUDGET COMMERCIALE'!L119</f>
        <v>4560</v>
      </c>
      <c r="M476" s="86">
        <f t="shared" ref="M476:M482" si="147">SUM(J476:L476)</f>
        <v>14100</v>
      </c>
      <c r="N476" s="184">
        <f>'BUDGET COMMERCIALE'!N119</f>
        <v>3780</v>
      </c>
      <c r="O476" s="184">
        <f>'BUDGET COMMERCIALE'!O119</f>
        <v>3468</v>
      </c>
      <c r="P476" s="184">
        <f>'BUDGET COMMERCIALE'!P119</f>
        <v>2544</v>
      </c>
      <c r="Q476" s="86">
        <f t="shared" ref="Q476:Q482" si="148">SUM(N476:P476)</f>
        <v>9792</v>
      </c>
      <c r="R476" s="86">
        <f t="shared" ref="R476:R482" si="149">SUM(E476+I476+M476+Q476)</f>
        <v>45264</v>
      </c>
    </row>
    <row r="477" spans="1:18">
      <c r="A477" s="185" t="s">
        <v>52</v>
      </c>
      <c r="B477" s="86">
        <f>B475-B476</f>
        <v>57600</v>
      </c>
      <c r="C477" s="86">
        <f>C475-C476</f>
        <v>57600</v>
      </c>
      <c r="D477" s="86">
        <f>D475-D476</f>
        <v>72000</v>
      </c>
      <c r="E477" s="86">
        <f t="shared" si="145"/>
        <v>187200</v>
      </c>
      <c r="F477" s="86">
        <f>F475-F476</f>
        <v>96480</v>
      </c>
      <c r="G477" s="86">
        <f>G475-G476</f>
        <v>111168</v>
      </c>
      <c r="H477" s="86">
        <f>H475-H476</f>
        <v>118080</v>
      </c>
      <c r="I477" s="86">
        <f t="shared" si="146"/>
        <v>325728</v>
      </c>
      <c r="J477" s="86">
        <f>J475-J476</f>
        <v>112320</v>
      </c>
      <c r="K477" s="86">
        <f>K475-K476</f>
        <v>116640</v>
      </c>
      <c r="L477" s="86">
        <f>L475-L476</f>
        <v>109440</v>
      </c>
      <c r="M477" s="86">
        <f t="shared" si="147"/>
        <v>338400</v>
      </c>
      <c r="N477" s="86">
        <f>N475-N476</f>
        <v>90720</v>
      </c>
      <c r="O477" s="86">
        <f>O475-O476</f>
        <v>83232</v>
      </c>
      <c r="P477" s="86">
        <f>P475-P476</f>
        <v>61056</v>
      </c>
      <c r="Q477" s="86">
        <f t="shared" si="148"/>
        <v>235008</v>
      </c>
      <c r="R477" s="86">
        <f t="shared" si="149"/>
        <v>1086336</v>
      </c>
    </row>
    <row r="478" spans="1:18" ht="15">
      <c r="A478" s="86" t="s">
        <v>199</v>
      </c>
      <c r="B478" s="184">
        <f>B9</f>
        <v>1</v>
      </c>
      <c r="C478" s="184">
        <f>C9</f>
        <v>200</v>
      </c>
      <c r="D478" s="184">
        <f>D9</f>
        <v>250</v>
      </c>
      <c r="E478" s="86">
        <f>E9</f>
        <v>451</v>
      </c>
      <c r="F478" s="184">
        <f>F9</f>
        <v>335</v>
      </c>
      <c r="G478" s="184">
        <f>G9</f>
        <v>193</v>
      </c>
      <c r="H478" s="184">
        <f>H9</f>
        <v>205</v>
      </c>
      <c r="I478" s="86">
        <f>I9</f>
        <v>733</v>
      </c>
      <c r="J478" s="149">
        <f>J9</f>
        <v>195</v>
      </c>
      <c r="K478" s="149">
        <f>K9</f>
        <v>202.5</v>
      </c>
      <c r="L478" s="149">
        <f>L9</f>
        <v>190</v>
      </c>
      <c r="M478" s="86">
        <f>M9</f>
        <v>587.5</v>
      </c>
      <c r="N478" s="184">
        <f>N9</f>
        <v>157.5</v>
      </c>
      <c r="O478" s="184">
        <f>O9</f>
        <v>144.5</v>
      </c>
      <c r="P478" s="184">
        <f>P9</f>
        <v>106</v>
      </c>
      <c r="Q478" s="86">
        <f>Q9</f>
        <v>408</v>
      </c>
      <c r="R478" s="86">
        <f>R9</f>
        <v>2179.5</v>
      </c>
    </row>
    <row r="479" spans="1:18">
      <c r="A479" s="86" t="s">
        <v>200</v>
      </c>
      <c r="B479" s="184">
        <f>B19</f>
        <v>200</v>
      </c>
      <c r="C479" s="184">
        <f>C19</f>
        <v>250</v>
      </c>
      <c r="D479" s="184">
        <f>D19</f>
        <v>335</v>
      </c>
      <c r="E479" s="86">
        <f>E19</f>
        <v>785</v>
      </c>
      <c r="F479" s="184">
        <f>F19</f>
        <v>193</v>
      </c>
      <c r="G479" s="184">
        <f>G19</f>
        <v>205</v>
      </c>
      <c r="H479" s="184">
        <f>H19</f>
        <v>195</v>
      </c>
      <c r="I479" s="86">
        <f>I19</f>
        <v>593</v>
      </c>
      <c r="J479" s="149">
        <f>J19</f>
        <v>202.5</v>
      </c>
      <c r="K479" s="149">
        <f>K19</f>
        <v>190</v>
      </c>
      <c r="L479" s="149">
        <f>L19</f>
        <v>157.5</v>
      </c>
      <c r="M479" s="86">
        <f>M19</f>
        <v>550</v>
      </c>
      <c r="N479" s="184">
        <f>N19</f>
        <v>144.5</v>
      </c>
      <c r="O479" s="184">
        <f>O19</f>
        <v>106</v>
      </c>
      <c r="P479" s="184">
        <f>P19</f>
        <v>100</v>
      </c>
      <c r="Q479" s="86">
        <f>Q19</f>
        <v>350.5</v>
      </c>
      <c r="R479" s="86">
        <f>R19</f>
        <v>2278.5</v>
      </c>
    </row>
    <row r="480" spans="1:18">
      <c r="A480" s="185" t="s">
        <v>201</v>
      </c>
      <c r="B480" s="86">
        <f>SUM(B477+B479-B478)</f>
        <v>57799</v>
      </c>
      <c r="C480" s="86">
        <f>SUM(C477+C479-C478)</f>
        <v>57650</v>
      </c>
      <c r="D480" s="86">
        <f>SUM(D477+D479-D478)</f>
        <v>72085</v>
      </c>
      <c r="E480" s="86">
        <f>SUM(B480:D480)</f>
        <v>187534</v>
      </c>
      <c r="F480" s="86">
        <f>SUM(F477+F479-F478)</f>
        <v>96338</v>
      </c>
      <c r="G480" s="86">
        <f>SUM(G477+G479-G478)</f>
        <v>111180</v>
      </c>
      <c r="H480" s="86">
        <f>SUM(H477+H479-H478)</f>
        <v>118070</v>
      </c>
      <c r="I480" s="86">
        <f>SUM(F480:H480)</f>
        <v>325588</v>
      </c>
      <c r="J480" s="86">
        <f>SUM(J477+J479-J478)</f>
        <v>112327.5</v>
      </c>
      <c r="K480" s="86">
        <f>SUM(K477+K479-K478)</f>
        <v>116627.5</v>
      </c>
      <c r="L480" s="86">
        <f>SUM(L477+L479-L478)</f>
        <v>109407.5</v>
      </c>
      <c r="M480" s="86">
        <f>SUM(J480:L480)</f>
        <v>338362.5</v>
      </c>
      <c r="N480" s="86">
        <f>SUM(N477+N479-N478)</f>
        <v>90707</v>
      </c>
      <c r="O480" s="86">
        <f>SUM(O477+O479-O478)</f>
        <v>83193.5</v>
      </c>
      <c r="P480" s="86">
        <f>SUM(P477+P479-P478)</f>
        <v>61050</v>
      </c>
      <c r="Q480" s="86">
        <f>SUM(N480:P480)</f>
        <v>234950.5</v>
      </c>
      <c r="R480" s="86">
        <f>SUM(E480+I480+M480+Q480)</f>
        <v>1086435</v>
      </c>
    </row>
    <row r="481" spans="1:18">
      <c r="A481" s="86" t="s">
        <v>202</v>
      </c>
      <c r="B481" s="184">
        <f>B29*B393</f>
        <v>61955.397635767709</v>
      </c>
      <c r="C481" s="184">
        <f>C29*$B$393</f>
        <v>57757.419351215918</v>
      </c>
      <c r="D481" s="184">
        <f>D29*$B$393</f>
        <v>72830.697084338128</v>
      </c>
      <c r="E481" s="86">
        <f>SUM(B481:D481)</f>
        <v>192543.51407132176</v>
      </c>
      <c r="F481" s="184">
        <f>F29*$B$393</f>
        <v>90383.317696927159</v>
      </c>
      <c r="G481" s="184">
        <f>G29*$B$393</f>
        <v>109091.08669654051</v>
      </c>
      <c r="H481" s="184">
        <f>H29*$B$393</f>
        <v>115233.09519340152</v>
      </c>
      <c r="I481" s="86">
        <f>SUM(F481:H481)</f>
        <v>314707.49958686921</v>
      </c>
      <c r="J481" s="149">
        <f>J29*$B$393</f>
        <v>110091.27615359816</v>
      </c>
      <c r="K481" s="149">
        <f>K29*$B$393</f>
        <v>113753.94177099233</v>
      </c>
      <c r="L481" s="149">
        <f>L29*$B$393</f>
        <v>110584.32729440121</v>
      </c>
      <c r="M481" s="86">
        <f>SUM(J481:L481)</f>
        <v>334429.5452189917</v>
      </c>
      <c r="N481" s="184">
        <f>N29*$B$393</f>
        <v>88016.672221072455</v>
      </c>
      <c r="O481" s="184">
        <f>O29*$B$393</f>
        <v>79254.449090229449</v>
      </c>
      <c r="P481" s="184">
        <f>P29*$B$393</f>
        <v>56574.096613288566</v>
      </c>
      <c r="Q481" s="86">
        <f>SUM(N481:P481)</f>
        <v>223845.21792459046</v>
      </c>
      <c r="R481" s="86">
        <f>SUM(E481+I481+M481+Q481)</f>
        <v>1065525.7768017731</v>
      </c>
    </row>
    <row r="482" spans="1:18">
      <c r="A482" s="185" t="s">
        <v>203</v>
      </c>
      <c r="B482" s="86">
        <f>SUM(B480-B481)</f>
        <v>-4156.3976357677093</v>
      </c>
      <c r="C482" s="86">
        <f>SUM(C480-C481)</f>
        <v>-107.41935121591814</v>
      </c>
      <c r="D482" s="86">
        <f>SUM(D480-D481)</f>
        <v>-745.69708433812775</v>
      </c>
      <c r="E482" s="86">
        <f>D482+C482+B482</f>
        <v>-5009.5140713217552</v>
      </c>
      <c r="F482" s="86">
        <f>SUM(F480-F481)</f>
        <v>5954.682303072841</v>
      </c>
      <c r="G482" s="86">
        <f>SUM(G480-G481)</f>
        <v>2088.9133034594852</v>
      </c>
      <c r="H482" s="86">
        <f>SUM(H480-H481)</f>
        <v>2836.9048065984825</v>
      </c>
      <c r="I482" s="86">
        <f t="shared" si="146"/>
        <v>10880.500413130809</v>
      </c>
      <c r="J482" s="86">
        <f>SUM(J480-J481)</f>
        <v>2236.2238464018446</v>
      </c>
      <c r="K482" s="86">
        <f>SUM(K480-K481)</f>
        <v>2873.5582290076709</v>
      </c>
      <c r="L482" s="86">
        <f>SUM(L480-L481)</f>
        <v>-1176.8272944012133</v>
      </c>
      <c r="M482" s="86">
        <f t="shared" si="147"/>
        <v>3932.9547810083022</v>
      </c>
      <c r="N482" s="86">
        <f>SUM(N480-N481)</f>
        <v>2690.3277789275453</v>
      </c>
      <c r="O482" s="86">
        <f>SUM(O480-O481)</f>
        <v>3939.0509097705508</v>
      </c>
      <c r="P482" s="86">
        <f>SUM(P480-P481)</f>
        <v>4475.903386711434</v>
      </c>
      <c r="Q482" s="86">
        <f t="shared" si="148"/>
        <v>11105.28207540953</v>
      </c>
      <c r="R482" s="86">
        <f>SUM(E482+I482+M482+Q482)</f>
        <v>20909.223198226886</v>
      </c>
    </row>
    <row r="483" spans="1:18">
      <c r="J483" s="25"/>
      <c r="K483" s="25"/>
      <c r="L483" s="25"/>
    </row>
    <row r="484" spans="1:18">
      <c r="J484" s="25"/>
      <c r="K484" s="25"/>
      <c r="L484" s="25"/>
    </row>
    <row r="485" spans="1:18">
      <c r="J485" s="25"/>
      <c r="K485" s="25"/>
      <c r="L485" s="25"/>
    </row>
    <row r="486" spans="1:18">
      <c r="J486" s="25"/>
      <c r="K486" s="25"/>
      <c r="L486" s="25"/>
    </row>
    <row r="487" spans="1:18">
      <c r="J487" s="25"/>
      <c r="K487" s="25"/>
      <c r="L487" s="25"/>
    </row>
    <row r="488" spans="1:18">
      <c r="J488" s="25"/>
      <c r="K488" s="25"/>
      <c r="L488" s="25"/>
    </row>
    <row r="489" spans="1:18">
      <c r="A489" s="106" t="s">
        <v>206</v>
      </c>
      <c r="B489" s="151"/>
      <c r="C489" s="151"/>
      <c r="D489" s="151"/>
      <c r="E489" s="106"/>
      <c r="F489" s="151"/>
      <c r="G489" s="151"/>
      <c r="H489" s="151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</row>
    <row r="490" spans="1:18">
      <c r="A490" s="86"/>
      <c r="B490" s="149"/>
      <c r="C490" s="149"/>
      <c r="D490" s="149"/>
      <c r="E490" s="86"/>
      <c r="F490" s="149"/>
      <c r="G490" s="149"/>
      <c r="H490" s="149"/>
      <c r="I490" s="86"/>
      <c r="J490" s="86"/>
      <c r="K490" s="86"/>
      <c r="L490" s="86"/>
      <c r="M490" s="86"/>
      <c r="N490" s="86"/>
      <c r="O490" s="86"/>
      <c r="P490" s="86"/>
      <c r="Q490" s="86"/>
      <c r="R490" s="86"/>
    </row>
    <row r="491" spans="1:18">
      <c r="A491" s="86" t="s">
        <v>3</v>
      </c>
      <c r="B491" s="102" t="s">
        <v>4</v>
      </c>
      <c r="C491" s="102" t="s">
        <v>5</v>
      </c>
      <c r="D491" s="102" t="s">
        <v>6</v>
      </c>
      <c r="E491" s="102" t="s">
        <v>7</v>
      </c>
      <c r="F491" s="102" t="s">
        <v>8</v>
      </c>
      <c r="G491" s="102" t="s">
        <v>9</v>
      </c>
      <c r="H491" s="102" t="s">
        <v>10</v>
      </c>
      <c r="I491" s="102" t="s">
        <v>11</v>
      </c>
      <c r="J491" s="102" t="s">
        <v>12</v>
      </c>
      <c r="K491" s="102" t="s">
        <v>67</v>
      </c>
      <c r="L491" s="102" t="s">
        <v>68</v>
      </c>
      <c r="M491" s="102" t="s">
        <v>15</v>
      </c>
      <c r="N491" s="102" t="s">
        <v>16</v>
      </c>
      <c r="O491" s="102" t="s">
        <v>17</v>
      </c>
      <c r="P491" s="102" t="s">
        <v>18</v>
      </c>
      <c r="Q491" s="102" t="s">
        <v>69</v>
      </c>
      <c r="R491" s="102" t="s">
        <v>44</v>
      </c>
    </row>
    <row r="492" spans="1:18">
      <c r="A492" s="185" t="s">
        <v>50</v>
      </c>
      <c r="B492" s="86">
        <f>'BUDGET COMMERCIALE'!B129</f>
        <v>25600</v>
      </c>
      <c r="C492" s="86">
        <f>'BUDGET COMMERCIALE'!C129</f>
        <v>25600</v>
      </c>
      <c r="D492" s="86">
        <f>'BUDGET COMMERCIALE'!D129</f>
        <v>31200</v>
      </c>
      <c r="E492" s="86">
        <f t="shared" ref="E492:E499" si="150">SUM(B492:D492)</f>
        <v>82400</v>
      </c>
      <c r="F492" s="86">
        <f>'BUDGET COMMERCIALE'!F129</f>
        <v>42400</v>
      </c>
      <c r="G492" s="86">
        <f>'BUDGET COMMERCIALE'!G129</f>
        <v>49600</v>
      </c>
      <c r="H492" s="86">
        <f>'BUDGET COMMERCIALE'!H129</f>
        <v>52800</v>
      </c>
      <c r="I492" s="86">
        <f t="shared" ref="I492:I499" si="151">SUM(F492:H492)</f>
        <v>144800</v>
      </c>
      <c r="J492" s="86">
        <f>'BUDGET COMMERCIALE'!J129</f>
        <v>49600</v>
      </c>
      <c r="K492" s="86">
        <f>'BUDGET COMMERCIALE'!K129</f>
        <v>51200</v>
      </c>
      <c r="L492" s="86">
        <f>'BUDGET COMMERCIALE'!L129</f>
        <v>48000</v>
      </c>
      <c r="M492" s="86">
        <f t="shared" ref="M492:M499" si="152">SUM(J492:L492)</f>
        <v>148800</v>
      </c>
      <c r="N492" s="86">
        <f>'BUDGET COMMERCIALE'!N129</f>
        <v>40000</v>
      </c>
      <c r="O492" s="86">
        <f>'BUDGET COMMERCIALE'!O129</f>
        <v>36800</v>
      </c>
      <c r="P492" s="86">
        <f>'BUDGET COMMERCIALE'!P129</f>
        <v>40000</v>
      </c>
      <c r="Q492" s="86">
        <f t="shared" ref="Q492:Q499" si="153">SUM(N492:P492)</f>
        <v>116800</v>
      </c>
      <c r="R492" s="86">
        <f t="shared" ref="R492:R499" si="154">SUM(E492+I492+M492+Q492)</f>
        <v>492800</v>
      </c>
    </row>
    <row r="493" spans="1:18">
      <c r="A493" s="86" t="s">
        <v>26</v>
      </c>
      <c r="B493" s="184">
        <f>'BUDGET COMMERCIALE'!B130</f>
        <v>768</v>
      </c>
      <c r="C493" s="184">
        <f>'BUDGET COMMERCIALE'!C130</f>
        <v>768</v>
      </c>
      <c r="D493" s="184">
        <f>'BUDGET COMMERCIALE'!D130</f>
        <v>936</v>
      </c>
      <c r="E493" s="86">
        <f t="shared" si="150"/>
        <v>2472</v>
      </c>
      <c r="F493" s="184">
        <f>'BUDGET COMMERCIALE'!F130</f>
        <v>1272</v>
      </c>
      <c r="G493" s="184">
        <f>'BUDGET COMMERCIALE'!G130</f>
        <v>1488</v>
      </c>
      <c r="H493" s="184">
        <f>'BUDGET COMMERCIALE'!H130</f>
        <v>1584</v>
      </c>
      <c r="I493" s="86">
        <f t="shared" si="151"/>
        <v>4344</v>
      </c>
      <c r="J493" s="149">
        <f>'BUDGET COMMERCIALE'!J130</f>
        <v>1488</v>
      </c>
      <c r="K493" s="149">
        <f>'BUDGET COMMERCIALE'!K130</f>
        <v>1536</v>
      </c>
      <c r="L493" s="149">
        <f>'BUDGET COMMERCIALE'!L130</f>
        <v>1440</v>
      </c>
      <c r="M493" s="86">
        <f t="shared" si="152"/>
        <v>4464</v>
      </c>
      <c r="N493" s="184">
        <f>'BUDGET COMMERCIALE'!N130</f>
        <v>1200</v>
      </c>
      <c r="O493" s="184">
        <f>'BUDGET COMMERCIALE'!O130</f>
        <v>1104</v>
      </c>
      <c r="P493" s="184">
        <f>'BUDGET COMMERCIALE'!P130</f>
        <v>1200</v>
      </c>
      <c r="Q493" s="86">
        <f t="shared" si="153"/>
        <v>3504</v>
      </c>
      <c r="R493" s="86">
        <f t="shared" si="154"/>
        <v>14784</v>
      </c>
    </row>
    <row r="494" spans="1:18">
      <c r="A494" s="185" t="s">
        <v>52</v>
      </c>
      <c r="B494" s="86">
        <f>SUM(B492-B493)</f>
        <v>24832</v>
      </c>
      <c r="C494" s="86">
        <f>SUM(C492-C493)</f>
        <v>24832</v>
      </c>
      <c r="D494" s="86">
        <f>SUM(D492-D493)</f>
        <v>30264</v>
      </c>
      <c r="E494" s="86">
        <f t="shared" si="150"/>
        <v>79928</v>
      </c>
      <c r="F494" s="86">
        <f>SUM(F492-F493)</f>
        <v>41128</v>
      </c>
      <c r="G494" s="86">
        <f>SUM(G492-G493)</f>
        <v>48112</v>
      </c>
      <c r="H494" s="86">
        <f>SUM(H492-H493)</f>
        <v>51216</v>
      </c>
      <c r="I494" s="86">
        <f t="shared" si="151"/>
        <v>140456</v>
      </c>
      <c r="J494" s="86">
        <f>SUM(J492-J493)</f>
        <v>48112</v>
      </c>
      <c r="K494" s="86">
        <f>SUM(K492-K493)</f>
        <v>49664</v>
      </c>
      <c r="L494" s="86">
        <f>SUM(L492-L493)</f>
        <v>46560</v>
      </c>
      <c r="M494" s="86">
        <f t="shared" si="152"/>
        <v>144336</v>
      </c>
      <c r="N494" s="86">
        <f>SUM(N492-N493)</f>
        <v>38800</v>
      </c>
      <c r="O494" s="86">
        <f>SUM(O492-O493)</f>
        <v>35696</v>
      </c>
      <c r="P494" s="86">
        <f>SUM(P492-P493)</f>
        <v>38800</v>
      </c>
      <c r="Q494" s="86">
        <f t="shared" si="153"/>
        <v>113296</v>
      </c>
      <c r="R494" s="86">
        <f t="shared" si="154"/>
        <v>478016</v>
      </c>
    </row>
    <row r="495" spans="1:18">
      <c r="A495" s="86" t="s">
        <v>199</v>
      </c>
      <c r="B495" s="184">
        <f>B10</f>
        <v>0</v>
      </c>
      <c r="C495" s="184">
        <f>C10</f>
        <v>32</v>
      </c>
      <c r="D495" s="184">
        <f>D10</f>
        <v>39</v>
      </c>
      <c r="E495" s="86">
        <f>E10</f>
        <v>71</v>
      </c>
      <c r="F495" s="184">
        <f>F10</f>
        <v>53</v>
      </c>
      <c r="G495" s="184">
        <f>G10</f>
        <v>12.4</v>
      </c>
      <c r="H495" s="184">
        <f>H10</f>
        <v>198</v>
      </c>
      <c r="I495" s="86">
        <f>I10</f>
        <v>263.39999999999998</v>
      </c>
      <c r="J495" s="149">
        <f>J10</f>
        <v>186</v>
      </c>
      <c r="K495" s="149">
        <f>K10</f>
        <v>192</v>
      </c>
      <c r="L495" s="149">
        <f>L10</f>
        <v>180</v>
      </c>
      <c r="M495" s="86">
        <f>M10</f>
        <v>558</v>
      </c>
      <c r="N495" s="184">
        <f>N10</f>
        <v>100</v>
      </c>
      <c r="O495" s="184">
        <f>O10</f>
        <v>92</v>
      </c>
      <c r="P495" s="184">
        <f>P10</f>
        <v>50</v>
      </c>
      <c r="Q495" s="86">
        <f>Q10</f>
        <v>242</v>
      </c>
      <c r="R495" s="86">
        <f>R10</f>
        <v>1134.4000000000001</v>
      </c>
    </row>
    <row r="496" spans="1:18">
      <c r="A496" s="86" t="s">
        <v>200</v>
      </c>
      <c r="B496" s="184">
        <f>B20</f>
        <v>32</v>
      </c>
      <c r="C496" s="184">
        <f>C20</f>
        <v>39</v>
      </c>
      <c r="D496" s="184">
        <f>D20</f>
        <v>53</v>
      </c>
      <c r="E496" s="86">
        <f>E20</f>
        <v>124</v>
      </c>
      <c r="F496" s="184">
        <f>F20</f>
        <v>12.4</v>
      </c>
      <c r="G496" s="184">
        <f>G20</f>
        <v>198</v>
      </c>
      <c r="H496" s="184">
        <f>H20</f>
        <v>186</v>
      </c>
      <c r="I496" s="86">
        <f>I20</f>
        <v>396.4</v>
      </c>
      <c r="J496" s="149">
        <f>J20</f>
        <v>192</v>
      </c>
      <c r="K496" s="149">
        <f>K20</f>
        <v>180</v>
      </c>
      <c r="L496" s="149">
        <f>L20</f>
        <v>100</v>
      </c>
      <c r="M496" s="86">
        <f>M20</f>
        <v>472</v>
      </c>
      <c r="N496" s="184">
        <f>N20</f>
        <v>92</v>
      </c>
      <c r="O496" s="184">
        <f>O20</f>
        <v>50</v>
      </c>
      <c r="P496" s="184">
        <f>P20</f>
        <v>32</v>
      </c>
      <c r="Q496" s="86">
        <f>Q20</f>
        <v>174</v>
      </c>
      <c r="R496" s="86">
        <f>R20</f>
        <v>1166.4000000000001</v>
      </c>
    </row>
    <row r="497" spans="1:18">
      <c r="A497" s="185" t="s">
        <v>201</v>
      </c>
      <c r="B497" s="86">
        <f>B494+B496-B495</f>
        <v>24864</v>
      </c>
      <c r="C497" s="86">
        <f>C494+C496-C495</f>
        <v>24839</v>
      </c>
      <c r="D497" s="86">
        <f>D494+D496-D495</f>
        <v>30278</v>
      </c>
      <c r="E497" s="86">
        <f t="shared" si="150"/>
        <v>79981</v>
      </c>
      <c r="F497" s="86">
        <f>F494+F496-F495</f>
        <v>41087.4</v>
      </c>
      <c r="G497" s="86">
        <f>G494+G496-G495</f>
        <v>48297.599999999999</v>
      </c>
      <c r="H497" s="86">
        <f>H494+H496-H495</f>
        <v>51204</v>
      </c>
      <c r="I497" s="86">
        <f t="shared" si="151"/>
        <v>140589</v>
      </c>
      <c r="J497" s="86">
        <f>J494+J496-J495</f>
        <v>48118</v>
      </c>
      <c r="K497" s="86">
        <f>K494+K496-K495</f>
        <v>49652</v>
      </c>
      <c r="L497" s="86">
        <f>L494+L496-L495</f>
        <v>46480</v>
      </c>
      <c r="M497" s="86">
        <f t="shared" si="152"/>
        <v>144250</v>
      </c>
      <c r="N497" s="86">
        <f>N494+N496-N495</f>
        <v>38792</v>
      </c>
      <c r="O497" s="86">
        <f>O494+O496-O495</f>
        <v>35654</v>
      </c>
      <c r="P497" s="86">
        <f>P494+P496-P495</f>
        <v>38782</v>
      </c>
      <c r="Q497" s="86">
        <f t="shared" si="153"/>
        <v>113228</v>
      </c>
      <c r="R497" s="86">
        <f t="shared" si="154"/>
        <v>478048</v>
      </c>
    </row>
    <row r="498" spans="1:18">
      <c r="A498" s="86" t="s">
        <v>202</v>
      </c>
      <c r="B498" s="184">
        <f>B30*$B$404</f>
        <v>20455.939200000001</v>
      </c>
      <c r="C498" s="184">
        <f>C30*$B$404</f>
        <v>19694.929557142856</v>
      </c>
      <c r="D498" s="184">
        <f>D30*$B$404</f>
        <v>24169.666257142857</v>
      </c>
      <c r="E498" s="86">
        <f t="shared" si="150"/>
        <v>64320.535014285721</v>
      </c>
      <c r="F498" s="184">
        <f>F30*$B$404</f>
        <v>31030.929197142861</v>
      </c>
      <c r="G498" s="184">
        <f>G30*$B$404</f>
        <v>43395.813874285712</v>
      </c>
      <c r="H498" s="184">
        <f>H30*$B$404</f>
        <v>39816.024514285717</v>
      </c>
      <c r="I498" s="86">
        <f t="shared" si="151"/>
        <v>114242.76758571429</v>
      </c>
      <c r="J498" s="149">
        <f>J30*$B$404</f>
        <v>18964.3603</v>
      </c>
      <c r="K498" s="149">
        <f>K30*$B$404</f>
        <v>19299.204542857144</v>
      </c>
      <c r="L498" s="149">
        <f>L30*$B$404</f>
        <v>17046.615999999998</v>
      </c>
      <c r="M498" s="86">
        <f t="shared" si="152"/>
        <v>55310.180842857138</v>
      </c>
      <c r="N498" s="184">
        <f>N30*$B$404</f>
        <v>15098.431314285714</v>
      </c>
      <c r="O498" s="184">
        <f>O30*$B$404</f>
        <v>13363.329328571428</v>
      </c>
      <c r="P498" s="184">
        <f>P30*$B$404</f>
        <v>14946.229385714285</v>
      </c>
      <c r="Q498" s="86">
        <f t="shared" si="153"/>
        <v>43407.990028571425</v>
      </c>
      <c r="R498" s="86">
        <f t="shared" si="154"/>
        <v>277281.47347142856</v>
      </c>
    </row>
    <row r="499" spans="1:18">
      <c r="A499" s="185" t="s">
        <v>203</v>
      </c>
      <c r="B499" s="86">
        <f>SUM(B497-B498)</f>
        <v>4408.0607999999993</v>
      </c>
      <c r="C499" s="86">
        <f>SUM(C497-C498)</f>
        <v>5144.0704428571444</v>
      </c>
      <c r="D499" s="86">
        <f>SUM(D497-D498)</f>
        <v>6108.3337428571431</v>
      </c>
      <c r="E499" s="86">
        <f>D499+C499+B499</f>
        <v>15660.464985714287</v>
      </c>
      <c r="F499" s="86">
        <f>SUM(F497-F498)</f>
        <v>10056.47080285714</v>
      </c>
      <c r="G499" s="86">
        <f>SUM(G497-G498)</f>
        <v>4901.7861257142868</v>
      </c>
      <c r="H499" s="86">
        <f>SUM(H497-H498)</f>
        <v>11387.975485714283</v>
      </c>
      <c r="I499" s="86">
        <f t="shared" si="151"/>
        <v>26346.232414285711</v>
      </c>
      <c r="J499" s="86">
        <f>SUM(J497-J498)</f>
        <v>29153.6397</v>
      </c>
      <c r="K499" s="86">
        <f>SUM(K497-K498)</f>
        <v>30352.795457142856</v>
      </c>
      <c r="L499" s="86">
        <f>SUM(L497-L498)</f>
        <v>29433.384000000002</v>
      </c>
      <c r="M499" s="86">
        <f t="shared" si="152"/>
        <v>88939.819157142862</v>
      </c>
      <c r="N499" s="86">
        <f>SUM(N497-N498)</f>
        <v>23693.568685714286</v>
      </c>
      <c r="O499" s="86">
        <f>SUM(O497-O498)</f>
        <v>22290.670671428572</v>
      </c>
      <c r="P499" s="86">
        <f>SUM(P497-P498)</f>
        <v>23835.770614285713</v>
      </c>
      <c r="Q499" s="86">
        <f t="shared" si="153"/>
        <v>69820.009971428575</v>
      </c>
      <c r="R499" s="86">
        <f>SUM(E499+I499+M499+Q499)</f>
        <v>200766.52652857144</v>
      </c>
    </row>
    <row r="500" spans="1:18">
      <c r="J500" s="25"/>
      <c r="K500" s="25"/>
      <c r="L500" s="25"/>
    </row>
    <row r="501" spans="1:18">
      <c r="J501" s="25"/>
      <c r="K501" s="25"/>
      <c r="L501" s="25"/>
    </row>
    <row r="502" spans="1:18">
      <c r="J502" s="25"/>
      <c r="K502" s="25"/>
      <c r="L502" s="25"/>
    </row>
    <row r="503" spans="1:18">
      <c r="J503" s="25"/>
      <c r="K503" s="25"/>
      <c r="L503" s="25"/>
    </row>
    <row r="504" spans="1:18" ht="15"/>
    <row r="506" spans="1:18">
      <c r="A506" s="96" t="s">
        <v>207</v>
      </c>
      <c r="B506" s="187"/>
      <c r="C506" s="151"/>
      <c r="D506" s="151"/>
      <c r="E506" s="106"/>
      <c r="F506" s="151"/>
      <c r="G506" s="151"/>
      <c r="H506" s="151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</row>
    <row r="507" spans="1:18">
      <c r="A507" s="86"/>
      <c r="B507" s="149"/>
      <c r="C507" s="149"/>
      <c r="D507" s="149"/>
      <c r="E507" s="86"/>
      <c r="F507" s="149"/>
      <c r="G507" s="149"/>
      <c r="H507" s="149"/>
      <c r="I507" s="86"/>
      <c r="J507" s="86"/>
      <c r="K507" s="86"/>
      <c r="L507" s="86"/>
      <c r="M507" s="86"/>
      <c r="N507" s="86"/>
      <c r="O507" s="86"/>
      <c r="P507" s="86"/>
      <c r="Q507" s="86"/>
      <c r="R507" s="86"/>
    </row>
    <row r="508" spans="1:18">
      <c r="A508" s="188" t="s">
        <v>3</v>
      </c>
      <c r="B508" s="102" t="s">
        <v>4</v>
      </c>
      <c r="C508" s="102" t="s">
        <v>5</v>
      </c>
      <c r="D508" s="102" t="s">
        <v>6</v>
      </c>
      <c r="E508" s="102" t="s">
        <v>7</v>
      </c>
      <c r="F508" s="102" t="s">
        <v>8</v>
      </c>
      <c r="G508" s="102" t="s">
        <v>9</v>
      </c>
      <c r="H508" s="102" t="s">
        <v>10</v>
      </c>
      <c r="I508" s="102" t="s">
        <v>11</v>
      </c>
      <c r="J508" s="102" t="s">
        <v>12</v>
      </c>
      <c r="K508" s="102" t="s">
        <v>67</v>
      </c>
      <c r="L508" s="102" t="s">
        <v>68</v>
      </c>
      <c r="M508" s="102" t="s">
        <v>15</v>
      </c>
      <c r="N508" s="102" t="s">
        <v>16</v>
      </c>
      <c r="O508" s="102" t="s">
        <v>17</v>
      </c>
      <c r="P508" s="102" t="s">
        <v>18</v>
      </c>
      <c r="Q508" s="102" t="s">
        <v>69</v>
      </c>
      <c r="R508" s="102" t="s">
        <v>44</v>
      </c>
    </row>
    <row r="509" spans="1:18">
      <c r="A509" s="189" t="s">
        <v>208</v>
      </c>
      <c r="B509" s="86">
        <f>B442+B458+B475</f>
        <v>844000</v>
      </c>
      <c r="C509" s="86">
        <f>C442+C458+C475</f>
        <v>820000</v>
      </c>
      <c r="D509" s="86">
        <f t="shared" ref="C509:R509" si="155">D442+D458+D475</f>
        <v>907000</v>
      </c>
      <c r="E509" s="138">
        <f>SUM(B509:D509)</f>
        <v>2571000</v>
      </c>
      <c r="F509" s="86">
        <f t="shared" si="155"/>
        <v>960500</v>
      </c>
      <c r="G509" s="86">
        <f t="shared" si="155"/>
        <v>1051800</v>
      </c>
      <c r="H509" s="86">
        <f t="shared" si="155"/>
        <v>1117400</v>
      </c>
      <c r="I509" s="138">
        <f>SUM(F509:H509)</f>
        <v>3129700</v>
      </c>
      <c r="J509" s="138">
        <f t="shared" si="155"/>
        <v>1129800</v>
      </c>
      <c r="K509" s="138">
        <f t="shared" si="155"/>
        <v>1091900</v>
      </c>
      <c r="L509" s="138">
        <f t="shared" si="155"/>
        <v>1043600</v>
      </c>
      <c r="M509" s="138">
        <f>SUM(J509:L509)</f>
        <v>3265300</v>
      </c>
      <c r="N509" s="86">
        <f t="shared" si="155"/>
        <v>961700</v>
      </c>
      <c r="O509" s="86">
        <f t="shared" si="155"/>
        <v>865100</v>
      </c>
      <c r="P509" s="86">
        <f t="shared" si="155"/>
        <v>772400</v>
      </c>
      <c r="Q509" s="138">
        <f>SUM(N509:P509)</f>
        <v>2599200</v>
      </c>
      <c r="R509" s="138">
        <f>SUM(E509+I509+M509+Q509)</f>
        <v>11565200</v>
      </c>
    </row>
    <row r="510" spans="1:18">
      <c r="A510" s="190" t="s">
        <v>209</v>
      </c>
      <c r="B510" s="184">
        <f>B443+B459+B476</f>
        <v>21120</v>
      </c>
      <c r="C510" s="184">
        <f t="shared" ref="C510:R510" si="156">C443+C459+C476</f>
        <v>20800</v>
      </c>
      <c r="D510" s="184">
        <f t="shared" si="156"/>
        <v>23160</v>
      </c>
      <c r="E510" s="138">
        <f>SUM(B510:D510)</f>
        <v>65080</v>
      </c>
      <c r="F510" s="184">
        <f t="shared" si="156"/>
        <v>25020</v>
      </c>
      <c r="G510" s="184">
        <f t="shared" si="156"/>
        <v>27512</v>
      </c>
      <c r="H510" s="184">
        <f t="shared" si="156"/>
        <v>29152</v>
      </c>
      <c r="I510" s="138">
        <f>SUM(F510:H510)</f>
        <v>81684</v>
      </c>
      <c r="J510" s="138">
        <f t="shared" si="156"/>
        <v>29624</v>
      </c>
      <c r="K510" s="138">
        <f t="shared" si="156"/>
        <v>28892</v>
      </c>
      <c r="L510" s="138">
        <f t="shared" si="156"/>
        <v>27488</v>
      </c>
      <c r="M510" s="138">
        <f>SUM(J510:L510)</f>
        <v>86004</v>
      </c>
      <c r="N510" s="184">
        <f t="shared" si="156"/>
        <v>25108</v>
      </c>
      <c r="O510" s="184">
        <f t="shared" si="156"/>
        <v>22484</v>
      </c>
      <c r="P510" s="184">
        <f t="shared" si="156"/>
        <v>19808</v>
      </c>
      <c r="Q510" s="138">
        <f>SUM(N510:P510)</f>
        <v>67400</v>
      </c>
      <c r="R510" s="138">
        <f>SUM(E510+I510+M510+Q510)</f>
        <v>300168</v>
      </c>
    </row>
    <row r="511" spans="1:18">
      <c r="A511" s="191" t="s">
        <v>210</v>
      </c>
      <c r="B511" s="86">
        <f>B509-B510</f>
        <v>822880</v>
      </c>
      <c r="C511" s="86">
        <f t="shared" ref="C511:R511" si="157">C509-C510</f>
        <v>799200</v>
      </c>
      <c r="D511" s="86">
        <f t="shared" si="157"/>
        <v>883840</v>
      </c>
      <c r="E511" s="138">
        <f>SUM(B511:D511)</f>
        <v>2505920</v>
      </c>
      <c r="F511" s="86">
        <f t="shared" si="157"/>
        <v>935480</v>
      </c>
      <c r="G511" s="86">
        <f t="shared" si="157"/>
        <v>1024288</v>
      </c>
      <c r="H511" s="86">
        <f t="shared" si="157"/>
        <v>1088248</v>
      </c>
      <c r="I511" s="138">
        <f>SUM(F511:H511)</f>
        <v>3048016</v>
      </c>
      <c r="J511" s="138">
        <f t="shared" si="157"/>
        <v>1100176</v>
      </c>
      <c r="K511" s="138">
        <f t="shared" si="157"/>
        <v>1063008</v>
      </c>
      <c r="L511" s="138">
        <f t="shared" si="157"/>
        <v>1016112</v>
      </c>
      <c r="M511" s="138">
        <f>SUM(J511:L511)</f>
        <v>3179296</v>
      </c>
      <c r="N511" s="86">
        <f t="shared" si="157"/>
        <v>936592</v>
      </c>
      <c r="O511" s="86">
        <f t="shared" si="157"/>
        <v>842616</v>
      </c>
      <c r="P511" s="86">
        <f t="shared" si="157"/>
        <v>752592</v>
      </c>
      <c r="Q511" s="138">
        <f>SUM(N511:P511)</f>
        <v>2531800</v>
      </c>
      <c r="R511" s="138">
        <f>SUM(E511+I511+M511+Q511)</f>
        <v>11265032</v>
      </c>
    </row>
    <row r="512" spans="1:18">
      <c r="A512" s="192" t="s">
        <v>211</v>
      </c>
      <c r="B512" s="184">
        <f>B445+B461+B478</f>
        <v>3</v>
      </c>
      <c r="C512" s="184">
        <f t="shared" ref="C512:R512" si="158">C445+C461+C478</f>
        <v>1495</v>
      </c>
      <c r="D512" s="184">
        <f t="shared" si="158"/>
        <v>1680</v>
      </c>
      <c r="E512" s="138">
        <f>SUM(B512:D512)</f>
        <v>3178</v>
      </c>
      <c r="F512" s="184">
        <f t="shared" si="158"/>
        <v>2187</v>
      </c>
      <c r="G512" s="184">
        <f t="shared" si="158"/>
        <v>3053</v>
      </c>
      <c r="H512" s="184">
        <f t="shared" si="158"/>
        <v>3927.5</v>
      </c>
      <c r="I512" s="138">
        <f>SUM(F512:H512)</f>
        <v>9167.5</v>
      </c>
      <c r="J512" s="138">
        <f t="shared" si="158"/>
        <v>3984</v>
      </c>
      <c r="K512" s="138">
        <f t="shared" si="158"/>
        <v>3842</v>
      </c>
      <c r="L512" s="138">
        <f t="shared" si="158"/>
        <v>2793</v>
      </c>
      <c r="M512" s="138">
        <f>SUM(J512:L512)</f>
        <v>10619</v>
      </c>
      <c r="N512" s="184">
        <f t="shared" si="158"/>
        <v>2604.5</v>
      </c>
      <c r="O512" s="184">
        <f t="shared" si="158"/>
        <v>1986</v>
      </c>
      <c r="P512" s="184">
        <f t="shared" si="158"/>
        <v>1339</v>
      </c>
      <c r="Q512" s="138">
        <f>SUM(N512:P512)</f>
        <v>5929.5</v>
      </c>
      <c r="R512" s="138">
        <f>SUM(E512+I512+M512+Q512)</f>
        <v>28894</v>
      </c>
    </row>
    <row r="513" spans="1:18">
      <c r="A513" s="193" t="s">
        <v>212</v>
      </c>
      <c r="B513" s="184">
        <f>B446+B462+B479</f>
        <v>1495</v>
      </c>
      <c r="C513" s="184">
        <f t="shared" ref="C513:R513" si="159">C446+C462+C479</f>
        <v>1680</v>
      </c>
      <c r="D513" s="184">
        <f t="shared" si="159"/>
        <v>2187</v>
      </c>
      <c r="E513" s="138">
        <f>SUM(B513:D513)</f>
        <v>5362</v>
      </c>
      <c r="F513" s="184">
        <f t="shared" si="159"/>
        <v>3053</v>
      </c>
      <c r="G513" s="184">
        <f t="shared" si="159"/>
        <v>3927.5</v>
      </c>
      <c r="H513" s="184">
        <f t="shared" si="159"/>
        <v>3984</v>
      </c>
      <c r="I513" s="138">
        <f>SUM(F513:H513)</f>
        <v>10964.5</v>
      </c>
      <c r="J513" s="138">
        <f t="shared" si="159"/>
        <v>3842</v>
      </c>
      <c r="K513" s="138">
        <f t="shared" si="159"/>
        <v>2793</v>
      </c>
      <c r="L513" s="138">
        <f t="shared" si="159"/>
        <v>2604.5</v>
      </c>
      <c r="M513" s="138">
        <f>SUM(J513:L513)</f>
        <v>9239.5</v>
      </c>
      <c r="N513" s="184">
        <f t="shared" si="159"/>
        <v>1986</v>
      </c>
      <c r="O513" s="184">
        <f t="shared" si="159"/>
        <v>1339</v>
      </c>
      <c r="P513" s="184">
        <f t="shared" si="159"/>
        <v>1445</v>
      </c>
      <c r="Q513" s="138">
        <f>SUM(N513:P513)</f>
        <v>4770</v>
      </c>
      <c r="R513" s="138">
        <f>SUM(E513+I513+M513+Q513)</f>
        <v>30336</v>
      </c>
    </row>
    <row r="514" spans="1:18">
      <c r="A514" s="194" t="s">
        <v>213</v>
      </c>
      <c r="B514" s="86">
        <f>B511+B512-B513</f>
        <v>821388</v>
      </c>
      <c r="C514" s="86">
        <f t="shared" ref="C514:R514" si="160">C511+C512-C513</f>
        <v>799015</v>
      </c>
      <c r="D514" s="86">
        <f t="shared" si="160"/>
        <v>883333</v>
      </c>
      <c r="E514" s="138">
        <f>SUM(B514:D514)</f>
        <v>2503736</v>
      </c>
      <c r="F514" s="86">
        <f t="shared" si="160"/>
        <v>934614</v>
      </c>
      <c r="G514" s="86">
        <f t="shared" si="160"/>
        <v>1023413.5</v>
      </c>
      <c r="H514" s="86">
        <f t="shared" si="160"/>
        <v>1088191.5</v>
      </c>
      <c r="I514" s="138">
        <f>SUM(F514:H514)</f>
        <v>3046219</v>
      </c>
      <c r="J514" s="138">
        <f t="shared" si="160"/>
        <v>1100318</v>
      </c>
      <c r="K514" s="138">
        <f t="shared" si="160"/>
        <v>1064057</v>
      </c>
      <c r="L514" s="138">
        <f t="shared" si="160"/>
        <v>1016300.5</v>
      </c>
      <c r="M514" s="138">
        <f>SUM(J514:L514)</f>
        <v>3180675.5</v>
      </c>
      <c r="N514" s="86">
        <f t="shared" si="160"/>
        <v>937210.5</v>
      </c>
      <c r="O514" s="86">
        <f t="shared" si="160"/>
        <v>843263</v>
      </c>
      <c r="P514" s="86">
        <f t="shared" si="160"/>
        <v>752486</v>
      </c>
      <c r="Q514" s="138">
        <f>SUM(N514:P514)</f>
        <v>2532959.5</v>
      </c>
      <c r="R514" s="138">
        <f>SUM(E514+I514+M514+Q514)</f>
        <v>11263590</v>
      </c>
    </row>
    <row r="515" spans="1:18">
      <c r="A515" s="195" t="s">
        <v>214</v>
      </c>
      <c r="B515" s="184">
        <f>B448+B464+B481</f>
        <v>542643.96150607453</v>
      </c>
      <c r="C515" s="184">
        <f t="shared" ref="C515:R515" si="161">C448+C464+C481</f>
        <v>236326.40388058862</v>
      </c>
      <c r="D515" s="184">
        <f t="shared" si="161"/>
        <v>283836.38635615585</v>
      </c>
      <c r="E515" s="138">
        <f>SUM(B515:D515)</f>
        <v>1062806.7517428189</v>
      </c>
      <c r="F515" s="184">
        <f t="shared" si="161"/>
        <v>317019.71228154103</v>
      </c>
      <c r="G515" s="184">
        <f t="shared" si="161"/>
        <v>340676.53687637264</v>
      </c>
      <c r="H515" s="184">
        <f t="shared" si="161"/>
        <v>361977.97497333132</v>
      </c>
      <c r="I515" s="138">
        <f>SUM(F515:H515)</f>
        <v>1019674.224131245</v>
      </c>
      <c r="J515" s="138">
        <f t="shared" si="161"/>
        <v>212713.47492458409</v>
      </c>
      <c r="K515" s="138">
        <f t="shared" si="161"/>
        <v>320801.10182212177</v>
      </c>
      <c r="L515" s="138">
        <f t="shared" si="161"/>
        <v>326628.62967127084</v>
      </c>
      <c r="M515" s="138">
        <f>SUM(J515:L515)</f>
        <v>860143.20641797676</v>
      </c>
      <c r="N515" s="184">
        <f t="shared" si="161"/>
        <v>283927.14671828703</v>
      </c>
      <c r="O515" s="184">
        <f t="shared" si="161"/>
        <v>270236.35196969373</v>
      </c>
      <c r="P515" s="184">
        <f t="shared" si="161"/>
        <v>232739.90273561762</v>
      </c>
      <c r="Q515" s="138">
        <f>SUM(N515:P515)</f>
        <v>786903.40142359829</v>
      </c>
      <c r="R515" s="138">
        <f>SUM(E515+I515+M515+Q515)</f>
        <v>3729527.5837156391</v>
      </c>
    </row>
    <row r="516" spans="1:18">
      <c r="A516" s="196" t="s">
        <v>215</v>
      </c>
      <c r="B516" s="86">
        <f>ROUND(B514-B515,1)</f>
        <v>278744</v>
      </c>
      <c r="C516" s="86">
        <f t="shared" ref="C516:R516" si="162">ROUND(C514-C515,1)</f>
        <v>562688.6</v>
      </c>
      <c r="D516" s="86">
        <f t="shared" si="162"/>
        <v>599496.6</v>
      </c>
      <c r="E516" s="138">
        <f>SUM(B516:D516)</f>
        <v>1440929.2</v>
      </c>
      <c r="F516" s="86">
        <f t="shared" si="162"/>
        <v>617594.30000000005</v>
      </c>
      <c r="G516" s="86">
        <f t="shared" si="162"/>
        <v>682737</v>
      </c>
      <c r="H516" s="86">
        <f t="shared" si="162"/>
        <v>726213.5</v>
      </c>
      <c r="I516" s="138">
        <f>SUM(F516:H516)</f>
        <v>2026544.8</v>
      </c>
      <c r="J516" s="138">
        <f t="shared" si="162"/>
        <v>887604.5</v>
      </c>
      <c r="K516" s="138">
        <f t="shared" si="162"/>
        <v>743255.9</v>
      </c>
      <c r="L516" s="138">
        <f t="shared" si="162"/>
        <v>689671.9</v>
      </c>
      <c r="M516" s="138">
        <f>SUM(J516:L516)</f>
        <v>2320532.2999999998</v>
      </c>
      <c r="N516" s="86">
        <f t="shared" si="162"/>
        <v>653283.4</v>
      </c>
      <c r="O516" s="86">
        <f t="shared" si="162"/>
        <v>573026.6</v>
      </c>
      <c r="P516" s="86">
        <f t="shared" si="162"/>
        <v>519746.1</v>
      </c>
      <c r="Q516" s="138">
        <f>SUM(N516:P516)</f>
        <v>1746056.1</v>
      </c>
      <c r="R516" s="138">
        <f>SUM(E516+I516+M516+Q516)</f>
        <v>7534062.4000000004</v>
      </c>
    </row>
    <row r="522" spans="1:18">
      <c r="A522" s="96" t="s">
        <v>216</v>
      </c>
      <c r="B522" s="187"/>
      <c r="C522" s="151"/>
      <c r="D522" s="151"/>
      <c r="E522" s="106"/>
      <c r="F522" s="151"/>
      <c r="G522" s="151"/>
      <c r="H522" s="151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</row>
    <row r="523" spans="1:18">
      <c r="A523" s="86"/>
      <c r="B523" s="149"/>
      <c r="C523" s="149"/>
      <c r="D523" s="149"/>
      <c r="E523" s="86"/>
      <c r="F523" s="149"/>
      <c r="G523" s="149"/>
      <c r="H523" s="149"/>
      <c r="I523" s="86"/>
      <c r="J523" s="86"/>
      <c r="K523" s="86"/>
      <c r="L523" s="86"/>
      <c r="M523" s="86"/>
      <c r="N523" s="86"/>
      <c r="O523" s="86"/>
      <c r="P523" s="86"/>
      <c r="Q523" s="86"/>
      <c r="R523" s="86"/>
    </row>
    <row r="524" spans="1:18">
      <c r="A524" s="188" t="s">
        <v>3</v>
      </c>
      <c r="B524" s="102" t="s">
        <v>4</v>
      </c>
      <c r="C524" s="102" t="s">
        <v>5</v>
      </c>
      <c r="D524" s="102" t="s">
        <v>6</v>
      </c>
      <c r="E524" s="102" t="s">
        <v>7</v>
      </c>
      <c r="F524" s="102" t="s">
        <v>8</v>
      </c>
      <c r="G524" s="102" t="s">
        <v>9</v>
      </c>
      <c r="H524" s="102" t="s">
        <v>10</v>
      </c>
      <c r="I524" s="102" t="s">
        <v>11</v>
      </c>
      <c r="J524" s="102" t="s">
        <v>12</v>
      </c>
      <c r="K524" s="102" t="s">
        <v>67</v>
      </c>
      <c r="L524" s="102" t="s">
        <v>68</v>
      </c>
      <c r="M524" s="102" t="s">
        <v>15</v>
      </c>
      <c r="N524" s="102" t="s">
        <v>16</v>
      </c>
      <c r="O524" s="102" t="s">
        <v>17</v>
      </c>
      <c r="P524" s="102" t="s">
        <v>18</v>
      </c>
      <c r="Q524" s="102" t="s">
        <v>69</v>
      </c>
      <c r="R524" s="102" t="s">
        <v>44</v>
      </c>
    </row>
    <row r="525" spans="1:18">
      <c r="A525" s="189" t="s">
        <v>208</v>
      </c>
      <c r="B525" s="86">
        <f>B442+B458+B475+B492</f>
        <v>869600</v>
      </c>
      <c r="C525" s="86">
        <f t="shared" ref="C525:R525" si="163">C442+C458+C475+C492</f>
        <v>845600</v>
      </c>
      <c r="D525" s="86">
        <f t="shared" si="163"/>
        <v>938200</v>
      </c>
      <c r="E525" s="138">
        <f>SUM(B525:D525)</f>
        <v>2653400</v>
      </c>
      <c r="F525" s="86">
        <f t="shared" si="163"/>
        <v>1002900</v>
      </c>
      <c r="G525" s="86">
        <f t="shared" si="163"/>
        <v>1101400</v>
      </c>
      <c r="H525" s="86">
        <f t="shared" si="163"/>
        <v>1170200</v>
      </c>
      <c r="I525" s="138">
        <f>SUM(F525:H525)</f>
        <v>3274500</v>
      </c>
      <c r="J525" s="138">
        <f t="shared" si="163"/>
        <v>1179400</v>
      </c>
      <c r="K525" s="138">
        <f t="shared" si="163"/>
        <v>1143100</v>
      </c>
      <c r="L525" s="138">
        <f t="shared" si="163"/>
        <v>1091600</v>
      </c>
      <c r="M525" s="138">
        <f>SUM(J525:L525)</f>
        <v>3414100</v>
      </c>
      <c r="N525" s="86">
        <f t="shared" si="163"/>
        <v>1001700</v>
      </c>
      <c r="O525" s="86">
        <f t="shared" si="163"/>
        <v>901900</v>
      </c>
      <c r="P525" s="86">
        <f t="shared" si="163"/>
        <v>812400</v>
      </c>
      <c r="Q525" s="138">
        <f>SUM(N525:P525)</f>
        <v>2716000</v>
      </c>
      <c r="R525" s="138">
        <f>SUM(E525+I525+M525+Q525)</f>
        <v>12058000</v>
      </c>
    </row>
    <row r="526" spans="1:18">
      <c r="A526" s="190" t="s">
        <v>209</v>
      </c>
      <c r="B526" s="184">
        <f>B443+B459+B476+B493</f>
        <v>21888</v>
      </c>
      <c r="C526" s="184">
        <f t="shared" ref="C526:R526" si="164">C443+C459+C476+C493</f>
        <v>21568</v>
      </c>
      <c r="D526" s="184">
        <f t="shared" si="164"/>
        <v>24096</v>
      </c>
      <c r="E526" s="138">
        <f>SUM(B526:D526)</f>
        <v>67552</v>
      </c>
      <c r="F526" s="184">
        <f t="shared" si="164"/>
        <v>26292</v>
      </c>
      <c r="G526" s="184">
        <f t="shared" si="164"/>
        <v>29000</v>
      </c>
      <c r="H526" s="184">
        <f t="shared" si="164"/>
        <v>30736</v>
      </c>
      <c r="I526" s="138">
        <f>SUM(F526:H526)</f>
        <v>86028</v>
      </c>
      <c r="J526" s="138">
        <f t="shared" si="164"/>
        <v>31112</v>
      </c>
      <c r="K526" s="138">
        <f t="shared" si="164"/>
        <v>30428</v>
      </c>
      <c r="L526" s="138">
        <f t="shared" si="164"/>
        <v>28928</v>
      </c>
      <c r="M526" s="138">
        <f>SUM(J526:L526)</f>
        <v>90468</v>
      </c>
      <c r="N526" s="184">
        <f t="shared" si="164"/>
        <v>26308</v>
      </c>
      <c r="O526" s="184">
        <f t="shared" si="164"/>
        <v>23588</v>
      </c>
      <c r="P526" s="184">
        <f t="shared" si="164"/>
        <v>21008</v>
      </c>
      <c r="Q526" s="138">
        <f>SUM(N526:P526)</f>
        <v>70904</v>
      </c>
      <c r="R526" s="138">
        <f>SUM(E526+I526+M526+Q526)</f>
        <v>314952</v>
      </c>
    </row>
    <row r="527" spans="1:18">
      <c r="A527" s="191" t="s">
        <v>210</v>
      </c>
      <c r="B527" s="86">
        <f>B525-B526</f>
        <v>847712</v>
      </c>
      <c r="C527" s="86">
        <f t="shared" ref="C527:R527" si="165">C525-C526</f>
        <v>824032</v>
      </c>
      <c r="D527" s="86">
        <f t="shared" si="165"/>
        <v>914104</v>
      </c>
      <c r="E527" s="138">
        <f>SUM(B527:D527)</f>
        <v>2585848</v>
      </c>
      <c r="F527" s="86">
        <f t="shared" si="165"/>
        <v>976608</v>
      </c>
      <c r="G527" s="86">
        <f t="shared" si="165"/>
        <v>1072400</v>
      </c>
      <c r="H527" s="86">
        <f t="shared" si="165"/>
        <v>1139464</v>
      </c>
      <c r="I527" s="138">
        <f>SUM(F527:H527)</f>
        <v>3188472</v>
      </c>
      <c r="J527" s="138">
        <f t="shared" si="165"/>
        <v>1148288</v>
      </c>
      <c r="K527" s="138">
        <f t="shared" si="165"/>
        <v>1112672</v>
      </c>
      <c r="L527" s="138">
        <f t="shared" si="165"/>
        <v>1062672</v>
      </c>
      <c r="M527" s="138">
        <f>SUM(J527:L527)</f>
        <v>3323632</v>
      </c>
      <c r="N527" s="86">
        <f t="shared" si="165"/>
        <v>975392</v>
      </c>
      <c r="O527" s="86">
        <f t="shared" si="165"/>
        <v>878312</v>
      </c>
      <c r="P527" s="86">
        <f t="shared" si="165"/>
        <v>791392</v>
      </c>
      <c r="Q527" s="138">
        <f>SUM(N527:P527)</f>
        <v>2645096</v>
      </c>
      <c r="R527" s="138">
        <f>SUM(E527+I527+M527+Q527)</f>
        <v>11743048</v>
      </c>
    </row>
    <row r="528" spans="1:18">
      <c r="A528" s="192" t="s">
        <v>211</v>
      </c>
      <c r="B528" s="184">
        <f>B445+B461+B478+B495</f>
        <v>3</v>
      </c>
      <c r="C528" s="184">
        <f t="shared" ref="C528:R528" si="166">C445+C461+C478+C495</f>
        <v>1527</v>
      </c>
      <c r="D528" s="184">
        <f t="shared" si="166"/>
        <v>1719</v>
      </c>
      <c r="E528" s="138">
        <f>SUM(B528:D528)</f>
        <v>3249</v>
      </c>
      <c r="F528" s="184">
        <f t="shared" si="166"/>
        <v>2240</v>
      </c>
      <c r="G528" s="184">
        <f t="shared" si="166"/>
        <v>3065.4</v>
      </c>
      <c r="H528" s="184">
        <f t="shared" si="166"/>
        <v>4125.5</v>
      </c>
      <c r="I528" s="138">
        <f>SUM(F528:H528)</f>
        <v>9430.9</v>
      </c>
      <c r="J528" s="138">
        <f t="shared" si="166"/>
        <v>4170</v>
      </c>
      <c r="K528" s="138">
        <f t="shared" si="166"/>
        <v>4034</v>
      </c>
      <c r="L528" s="138">
        <f t="shared" si="166"/>
        <v>2973</v>
      </c>
      <c r="M528" s="138">
        <f>SUM(J528:L528)</f>
        <v>11177</v>
      </c>
      <c r="N528" s="184">
        <f t="shared" si="166"/>
        <v>2704.5</v>
      </c>
      <c r="O528" s="184">
        <f t="shared" si="166"/>
        <v>2078</v>
      </c>
      <c r="P528" s="184">
        <f t="shared" si="166"/>
        <v>1389</v>
      </c>
      <c r="Q528" s="138">
        <f>SUM(N528:P528)</f>
        <v>6171.5</v>
      </c>
      <c r="R528" s="138">
        <f>SUM(E528+I528+M528+Q528)</f>
        <v>30028.400000000001</v>
      </c>
    </row>
    <row r="529" spans="1:18">
      <c r="A529" s="193" t="s">
        <v>212</v>
      </c>
      <c r="B529" s="184">
        <f>B446+B462+B479+B496</f>
        <v>1527</v>
      </c>
      <c r="C529" s="184">
        <f t="shared" ref="C529:R529" si="167">C446+C462+C479+C496</f>
        <v>1719</v>
      </c>
      <c r="D529" s="184">
        <f t="shared" si="167"/>
        <v>2240</v>
      </c>
      <c r="E529" s="138">
        <f>SUM(B529:D529)</f>
        <v>5486</v>
      </c>
      <c r="F529" s="184">
        <f t="shared" si="167"/>
        <v>3065.4</v>
      </c>
      <c r="G529" s="184">
        <f t="shared" si="167"/>
        <v>4125.5</v>
      </c>
      <c r="H529" s="184">
        <f t="shared" si="167"/>
        <v>4170</v>
      </c>
      <c r="I529" s="138">
        <f>SUM(F529:H529)</f>
        <v>11360.9</v>
      </c>
      <c r="J529" s="138">
        <f t="shared" si="167"/>
        <v>4034</v>
      </c>
      <c r="K529" s="138">
        <f>K446+K462+K479+K496</f>
        <v>2973</v>
      </c>
      <c r="L529" s="138">
        <f t="shared" si="167"/>
        <v>2704.5</v>
      </c>
      <c r="M529" s="138">
        <f>SUM(J529:L529)</f>
        <v>9711.5</v>
      </c>
      <c r="N529" s="184">
        <f t="shared" si="167"/>
        <v>2078</v>
      </c>
      <c r="O529" s="184">
        <f t="shared" si="167"/>
        <v>1389</v>
      </c>
      <c r="P529" s="184">
        <f t="shared" si="167"/>
        <v>1477</v>
      </c>
      <c r="Q529" s="138">
        <f>SUM(N529:P529)</f>
        <v>4944</v>
      </c>
      <c r="R529" s="138">
        <f>SUM(E529+I529+M529+Q529)</f>
        <v>31502.400000000001</v>
      </c>
    </row>
    <row r="530" spans="1:18">
      <c r="A530" s="194" t="s">
        <v>213</v>
      </c>
      <c r="B530" s="86">
        <f>B527+B528-B529</f>
        <v>846188</v>
      </c>
      <c r="C530" s="86">
        <f t="shared" ref="C530:R530" si="168">C527+C528-C529</f>
        <v>823840</v>
      </c>
      <c r="D530" s="86">
        <f t="shared" si="168"/>
        <v>913583</v>
      </c>
      <c r="E530" s="138">
        <f>SUM(B530:D530)</f>
        <v>2583611</v>
      </c>
      <c r="F530" s="86">
        <f t="shared" si="168"/>
        <v>975782.6</v>
      </c>
      <c r="G530" s="86">
        <f t="shared" si="168"/>
        <v>1071339.8999999999</v>
      </c>
      <c r="H530" s="86">
        <f t="shared" si="168"/>
        <v>1139419.5</v>
      </c>
      <c r="I530" s="138">
        <f>SUM(F530:H530)</f>
        <v>3186542</v>
      </c>
      <c r="J530" s="138">
        <f t="shared" si="168"/>
        <v>1148424</v>
      </c>
      <c r="K530" s="138">
        <f t="shared" si="168"/>
        <v>1113733</v>
      </c>
      <c r="L530" s="138">
        <f t="shared" si="168"/>
        <v>1062940.5</v>
      </c>
      <c r="M530" s="138">
        <f>SUM(J530:L530)</f>
        <v>3325097.5</v>
      </c>
      <c r="N530" s="86">
        <f t="shared" si="168"/>
        <v>976018.5</v>
      </c>
      <c r="O530" s="86">
        <f t="shared" si="168"/>
        <v>879001</v>
      </c>
      <c r="P530" s="86">
        <f t="shared" si="168"/>
        <v>791304</v>
      </c>
      <c r="Q530" s="138">
        <f>SUM(N530:P530)</f>
        <v>2646323.5</v>
      </c>
      <c r="R530" s="138">
        <f>SUM(E530+I530+M530+Q530)</f>
        <v>11741574</v>
      </c>
    </row>
    <row r="531" spans="1:18">
      <c r="A531" s="195" t="s">
        <v>214</v>
      </c>
      <c r="B531" s="184">
        <f>B448+B464+B481+B498</f>
        <v>563099.90070607455</v>
      </c>
      <c r="C531" s="184">
        <f>C448+C464+C481+C498</f>
        <v>256021.33343773149</v>
      </c>
      <c r="D531" s="184">
        <f>D448+D464+D481+D498</f>
        <v>308006.0526132987</v>
      </c>
      <c r="E531" s="138">
        <f>E448+E464+E481+E498</f>
        <v>2230206.7852761522</v>
      </c>
      <c r="F531" s="184">
        <f>F448+F464+F481+F498</f>
        <v>348050.64147868392</v>
      </c>
      <c r="G531" s="184">
        <f>G448+G464+G481+G498</f>
        <v>384072.35075065837</v>
      </c>
      <c r="H531" s="184">
        <f>H448+H464+H481+H498</f>
        <v>401793.99948761705</v>
      </c>
      <c r="I531" s="138">
        <f>I448+I464+I481+I498</f>
        <v>2857674.1627257108</v>
      </c>
      <c r="J531" s="138">
        <f>J448+J464+J481+J498</f>
        <v>231677.83522458409</v>
      </c>
      <c r="K531" s="138">
        <f>K448+K464+K481+K498</f>
        <v>340100.3063649789</v>
      </c>
      <c r="L531" s="138">
        <f>L448+L464+L481+L498</f>
        <v>343675.24567127082</v>
      </c>
      <c r="M531" s="138">
        <f>M448+M464+M481+M498</f>
        <v>1908645.859658804</v>
      </c>
      <c r="N531" s="184">
        <f>N448+N464+N481+N498</f>
        <v>299025.57803257275</v>
      </c>
      <c r="O531" s="184">
        <f>O448+O464+O481+O498</f>
        <v>283599.68129826518</v>
      </c>
      <c r="P531" s="184">
        <f>P448+P464+P481+P498</f>
        <v>247686.1321213319</v>
      </c>
      <c r="Q531" s="138">
        <f>Q448+Q464+Q481+Q498</f>
        <v>1910724.4584501856</v>
      </c>
      <c r="R531" s="138">
        <f>R448+R464+R481+R498</f>
        <v>29003510.817227889</v>
      </c>
    </row>
    <row r="532" spans="1:18">
      <c r="A532" s="196" t="s">
        <v>215</v>
      </c>
      <c r="B532" s="86">
        <f>ROUND(B530-B531,1)</f>
        <v>283088.09999999998</v>
      </c>
      <c r="C532" s="86">
        <f t="shared" ref="C532:R532" si="169">ROUND(C530-C531,1)</f>
        <v>567818.69999999995</v>
      </c>
      <c r="D532" s="86">
        <f t="shared" si="169"/>
        <v>605576.9</v>
      </c>
      <c r="E532" s="138">
        <f>SUM(B532:D532)</f>
        <v>1456483.7</v>
      </c>
      <c r="F532" s="86">
        <f t="shared" si="169"/>
        <v>627732</v>
      </c>
      <c r="G532" s="86">
        <f t="shared" si="169"/>
        <v>687267.5</v>
      </c>
      <c r="H532" s="86">
        <f t="shared" si="169"/>
        <v>737625.5</v>
      </c>
      <c r="I532" s="138">
        <f>SUM(F532:H532)</f>
        <v>2052625</v>
      </c>
      <c r="J532" s="138">
        <f t="shared" si="169"/>
        <v>916746.2</v>
      </c>
      <c r="K532" s="138">
        <f t="shared" si="169"/>
        <v>773632.7</v>
      </c>
      <c r="L532" s="138">
        <f t="shared" si="169"/>
        <v>719265.3</v>
      </c>
      <c r="M532" s="138">
        <f>SUM(J532:L532)</f>
        <v>2409644.2000000002</v>
      </c>
      <c r="N532" s="86">
        <f t="shared" si="169"/>
        <v>676992.9</v>
      </c>
      <c r="O532" s="86">
        <f t="shared" si="169"/>
        <v>595401.30000000005</v>
      </c>
      <c r="P532" s="86">
        <f t="shared" si="169"/>
        <v>543617.9</v>
      </c>
      <c r="Q532" s="138">
        <f>SUM(N532:P532)</f>
        <v>1816012.1</v>
      </c>
      <c r="R532" s="138">
        <f>SUM(E532+I532+M532+Q532)</f>
        <v>7734765</v>
      </c>
    </row>
    <row r="540" spans="1:18">
      <c r="A540" s="197" t="s">
        <v>217</v>
      </c>
      <c r="B540" s="204">
        <f>SUM(R449+R465+R482)</f>
        <v>7102585.3415643601</v>
      </c>
    </row>
    <row r="541" spans="1:18">
      <c r="A541" s="199"/>
      <c r="B541" s="200"/>
    </row>
    <row r="542" spans="1:18">
      <c r="A542" s="197" t="s">
        <v>218</v>
      </c>
      <c r="B542" s="198">
        <f>ROUND(B540*(1.05),1)</f>
        <v>7457714.5999999996</v>
      </c>
    </row>
    <row r="543" spans="1:18">
      <c r="A543" s="199"/>
      <c r="B543" s="200"/>
    </row>
    <row r="544" spans="1:18">
      <c r="A544" s="197" t="s">
        <v>219</v>
      </c>
      <c r="B544" s="201">
        <f>B542-B540</f>
        <v>355129.25843563955</v>
      </c>
    </row>
    <row r="545" spans="1:2">
      <c r="A545" s="199"/>
      <c r="B545" s="200"/>
    </row>
    <row r="546" spans="1:2" ht="15">
      <c r="A546" s="197" t="s">
        <v>220</v>
      </c>
      <c r="B546" s="205">
        <f>SUM(B540+R499)</f>
        <v>7303351.8680929318</v>
      </c>
    </row>
    <row r="547" spans="1:2">
      <c r="A547" s="199"/>
      <c r="B547" s="200"/>
    </row>
    <row r="548" spans="1:2">
      <c r="A548" s="197" t="s">
        <v>221</v>
      </c>
      <c r="B548" s="204">
        <f>B546-B540</f>
        <v>200766.52652857173</v>
      </c>
    </row>
    <row r="549" spans="1:2">
      <c r="A549" s="199"/>
      <c r="B549" s="200"/>
    </row>
    <row r="550" spans="1:2">
      <c r="A550" s="202" t="s">
        <v>222</v>
      </c>
      <c r="B550" s="203"/>
    </row>
    <row r="558" spans="1:2" ht="15"/>
  </sheetData>
  <mergeCells count="2">
    <mergeCell ref="V3:Y3"/>
    <mergeCell ref="A203:C203"/>
  </mergeCells>
  <phoneticPr fontId="15" type="noConversion"/>
  <conditionalFormatting sqref="A204:R239">
    <cfRule type="colorScale" priority="1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357:E361">
    <cfRule type="colorScale" priority="5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:R30">
    <cfRule type="colorScale" priority="65">
      <colorScale>
        <cfvo type="min"/>
        <cfvo type="max"/>
        <color rgb="FFFCFCFF"/>
        <color rgb="FF63BE7B"/>
      </colorScale>
    </cfRule>
  </conditionalFormatting>
  <conditionalFormatting sqref="B7:R30"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4:R59 C53:R53 B37:R52"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3">
      <colorScale>
        <cfvo type="min"/>
        <cfvo type="max"/>
        <color rgb="FFFCFCFF"/>
        <color rgb="FFF8696B"/>
      </colorScale>
    </cfRule>
  </conditionalFormatting>
  <conditionalFormatting sqref="B65:R86"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6:R86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6:R114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20:R132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37:R198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47:R270"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346:R349"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86:R338">
    <cfRule type="colorScale" priority="52">
      <colorScale>
        <cfvo type="min"/>
        <cfvo type="max"/>
        <color rgb="FFFFEF9C"/>
        <color rgb="FF63BE7B"/>
      </colorScale>
    </cfRule>
  </conditionalFormatting>
  <conditionalFormatting sqref="B287:R337">
    <cfRule type="colorScale" priority="50">
      <colorScale>
        <cfvo type="min"/>
        <cfvo type="max"/>
        <color rgb="FF63BE7B"/>
        <color rgb="FFFFEF9C"/>
      </colorScale>
    </cfRule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409:R413 A418 A425 A436 A422:A423 A428:A431 A434 B414:R426">
    <cfRule type="colorScale" priority="4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417">
    <cfRule type="colorScale" priority="4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414:R414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370:R370">
    <cfRule type="colorScale" priority="4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400:R400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389:R389">
    <cfRule type="colorScale" priority="4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378:R37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79:R379 I380:I381 M380:M381 Q380:R381">
    <cfRule type="colorScale" priority="1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368:R377 B379 B380:H381 J380:L381 N380:P381 B382:R388 B394:R399 B401:R405 B390:P393 R390:R393 Q393">
    <cfRule type="colorScale" priority="1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439:R441 A442 A443:R443 A449 A448:R448 A447 A445:R446 A444 A450:R460 A461:A462 A463:R482"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489:R491 B493:D493 F493:H493 J493:L493 N493:P493 B495:D496 B498:D498 F498:H498 F495:H496 J495:L496 J498:L498 N498:P498 N495:P496">
    <cfRule type="colorScale" priority="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427:R427 B429:R433 B434:E434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492:A499"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492:R492 E493:E499 I493:I499 M493:M499 Q493:R499"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494:D494 F494:H494 J494:L494 N494:P494">
    <cfRule type="colorScale" priority="3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497:D497 F497:H497 J497:L497 N497:P497">
    <cfRule type="colorScale" priority="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499:D499 F499:H499 J499:L499 N499:P499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449:R449">
    <cfRule type="colorScale" priority="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447:R447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444:R444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442:R442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428:R428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434:V434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90:Q392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10:D510 B512:D513 B515:D515 A507:R507 B506:R506 B508:R508 N515:P515 N512:P513 N510:P510 J515:L515 J512:L513 J510:L510 F515:H515 F512:H513 F510:H510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09:R509 Q510:R516 M510:M516 I510:I516 E510:E516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11:D511 N511:P511 J511:L511 F511:H511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14:D514 N514:P514 J514:L514 F514:H514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16:D516 N516:P516 J516:L516 F516:H516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26:D526 B528:D529 A523:R523 B522:R522 B524:R524 B531:D531 F531:H531 F528:H529 F526:H526 J526:L526 J528:L529 J531:L531 N531:P531 N528:P529 N526:P526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25:R525 E526:E532 I526:I532 M526:M532 Q526:R532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27:D527 F527:H527 J527:L527 N527:P527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30:D530 F530:H530 J530:L530 N530:P530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32:D532 F532:H532 J532:L532 N532:P532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55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{1AD8FF8E-DB04-4F86-AB8A-97D35368A64C}</x14:id>
        </ext>
      </extLst>
    </cfRule>
  </conditionalFormatting>
  <conditionalFormatting sqref="A540:B55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61:R461">
    <cfRule type="colorScale" priority="8">
      <colorScale>
        <cfvo type="min"/>
        <cfvo type="max"/>
        <color rgb="FFFCFCFF"/>
        <color rgb="FF63BE7B"/>
      </colorScale>
    </cfRule>
  </conditionalFormatting>
  <conditionalFormatting sqref="B461:R46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462:R462">
    <cfRule type="colorScale" priority="2">
      <colorScale>
        <cfvo type="min"/>
        <cfvo type="max"/>
        <color rgb="FFFCFCFF"/>
        <color rgb="FF63BE7B"/>
      </colorScale>
    </cfRule>
  </conditionalFormatting>
  <conditionalFormatting sqref="B462:R462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D8FF8E-DB04-4F86-AB8A-97D35368A6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A550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44DE-B6EA-40AA-A94D-4F6942588D6A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11AC81B981949AAD8A32C23105B81" ma:contentTypeVersion="9" ma:contentTypeDescription="Create a new document." ma:contentTypeScope="" ma:versionID="3c2e88116a36bc3adcf6deffd46979ba">
  <xsd:schema xmlns:xsd="http://www.w3.org/2001/XMLSchema" xmlns:xs="http://www.w3.org/2001/XMLSchema" xmlns:p="http://schemas.microsoft.com/office/2006/metadata/properties" xmlns:ns3="99b2c79f-779a-48c2-9b30-c8d9233c9121" xmlns:ns4="e36cbced-0526-46c4-b8ab-0e8a0ba7728d" targetNamespace="http://schemas.microsoft.com/office/2006/metadata/properties" ma:root="true" ma:fieldsID="5dcfa3a963f91bad2a077d5bb17793d4" ns3:_="" ns4:_="">
    <xsd:import namespace="99b2c79f-779a-48c2-9b30-c8d9233c9121"/>
    <xsd:import namespace="e36cbced-0526-46c4-b8ab-0e8a0ba772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2c79f-779a-48c2-9b30-c8d9233c91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6cbced-0526-46c4-b8ab-0e8a0ba7728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9b2c79f-779a-48c2-9b30-c8d9233c912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11DB0F-98DD-44D7-B113-BEB04993A909}"/>
</file>

<file path=customXml/itemProps2.xml><?xml version="1.0" encoding="utf-8"?>
<ds:datastoreItem xmlns:ds="http://schemas.openxmlformats.org/officeDocument/2006/customXml" ds:itemID="{8D42C503-A8C3-47EB-8612-06E8ADA80921}"/>
</file>

<file path=customXml/itemProps3.xml><?xml version="1.0" encoding="utf-8"?>
<ds:datastoreItem xmlns:ds="http://schemas.openxmlformats.org/officeDocument/2006/customXml" ds:itemID="{6D710A54-80AA-4F43-97CC-01F396B12B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Ivane Maeva Nague Nkenfack</dc:creator>
  <cp:keywords/>
  <dc:description/>
  <cp:lastModifiedBy>Ouahiba Khalil</cp:lastModifiedBy>
  <cp:revision/>
  <dcterms:created xsi:type="dcterms:W3CDTF">2025-03-24T12:26:51Z</dcterms:created>
  <dcterms:modified xsi:type="dcterms:W3CDTF">2025-05-22T19:40:57Z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0x0101001FC11AC81B981949AAD8A32C23105B81</vt:lpwstr>
  </property>
</Properties>
</file>